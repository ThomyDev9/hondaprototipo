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V:\2026\03 MARZO\LUCHA CAMPESINA\INBOUND\"/>
    </mc:Choice>
  </mc:AlternateContent>
  <bookViews>
    <workbookView xWindow="0" yWindow="0" windowWidth="20490" windowHeight="7125" tabRatio="943"/>
  </bookViews>
  <sheets>
    <sheet name="PORTADA" sheetId="9" r:id="rId1"/>
    <sheet name="REPORTE GERENCIAL" sheetId="10" r:id="rId2"/>
    <sheet name="TRX" sheetId="13" r:id="rId3"/>
    <sheet name="RESUMEN DE GESTION" sheetId="14" r:id="rId4"/>
    <sheet name="RESUMEN GLOBAL" sheetId="15" r:id="rId5"/>
    <sheet name="LLAMADAS DIARIAS" sheetId="16" r:id="rId6"/>
    <sheet name="GESTION IVR" sheetId="17" state="hidden" r:id="rId7"/>
  </sheets>
  <definedNames>
    <definedName name="_xlnm._FilterDatabase" localSheetId="1" hidden="1">'REPORTE GERENCIAL'!$C$13:$K$45</definedName>
    <definedName name="_xlnm._FilterDatabase" localSheetId="2" hidden="1">TRX!$A$13:$Q$59</definedName>
  </definedNames>
  <calcPr calcId="162913"/>
  <pivotCaches>
    <pivotCache cacheId="78" r:id="rId8"/>
    <pivotCache cacheId="81" r:id="rId9"/>
  </pivotCaches>
</workbook>
</file>

<file path=xl/calcChain.xml><?xml version="1.0" encoding="utf-8"?>
<calcChain xmlns="http://schemas.openxmlformats.org/spreadsheetml/2006/main">
  <c r="G15" i="10" l="1"/>
  <c r="H15" i="10"/>
  <c r="G16" i="10"/>
  <c r="H16" i="10"/>
  <c r="G17" i="10"/>
  <c r="H17" i="10"/>
  <c r="G18" i="10"/>
  <c r="H18" i="10"/>
  <c r="G19" i="10"/>
  <c r="H19" i="10"/>
  <c r="G20" i="10"/>
  <c r="H20" i="10"/>
  <c r="G21" i="10"/>
  <c r="H21" i="10"/>
  <c r="G22" i="10"/>
  <c r="H22" i="10"/>
  <c r="G23" i="10"/>
  <c r="H23" i="10"/>
  <c r="G24" i="10"/>
  <c r="H24" i="10"/>
  <c r="G25" i="10"/>
  <c r="H25" i="10"/>
  <c r="G26" i="10"/>
  <c r="H26" i="10"/>
  <c r="G27" i="10"/>
  <c r="H27" i="10"/>
  <c r="G28" i="10"/>
  <c r="H28" i="10"/>
  <c r="G29" i="10"/>
  <c r="H29" i="10"/>
  <c r="G30" i="10"/>
  <c r="H30" i="10"/>
  <c r="G31" i="10"/>
  <c r="H31" i="10"/>
  <c r="G32" i="10"/>
  <c r="H32" i="10"/>
  <c r="G33" i="10"/>
  <c r="H33" i="10"/>
  <c r="G34" i="10"/>
  <c r="H34" i="10"/>
  <c r="G35" i="10"/>
  <c r="H35" i="10"/>
  <c r="G36" i="10"/>
  <c r="H36" i="10"/>
  <c r="G37" i="10"/>
  <c r="H37" i="10"/>
  <c r="G38" i="10"/>
  <c r="H38" i="10"/>
  <c r="G39" i="10"/>
  <c r="H39" i="10"/>
  <c r="G40" i="10"/>
  <c r="H40" i="10"/>
  <c r="G41" i="10"/>
  <c r="H41" i="10"/>
  <c r="G42" i="10"/>
  <c r="H42" i="10"/>
  <c r="G43" i="10"/>
  <c r="H43" i="10"/>
  <c r="G44" i="10"/>
  <c r="H44" i="10"/>
  <c r="H14" i="10"/>
  <c r="G14" i="10"/>
  <c r="G9" i="10" l="1"/>
  <c r="G8" i="10"/>
  <c r="G45" i="10" l="1"/>
  <c r="H45" i="10"/>
  <c r="D3" i="10" l="1"/>
  <c r="H13" i="9" l="1"/>
  <c r="H12" i="9"/>
</calcChain>
</file>

<file path=xl/sharedStrings.xml><?xml version="1.0" encoding="utf-8"?>
<sst xmlns="http://schemas.openxmlformats.org/spreadsheetml/2006/main" count="1003" uniqueCount="335">
  <si>
    <t>Total general</t>
  </si>
  <si>
    <t>DATOS INFORMATIVOS:</t>
  </si>
  <si>
    <t>CONTENIDO DEL INFORME:</t>
  </si>
  <si>
    <t>Llamadas entrantes</t>
  </si>
  <si>
    <t>Nivel de servicio (SVL)</t>
  </si>
  <si>
    <t xml:space="preserve">Total del reporte: </t>
  </si>
  <si>
    <t>USUARIO/AGENTE</t>
  </si>
  <si>
    <t>NUMERO DE CEDULA</t>
  </si>
  <si>
    <t>APELLIDOS Y NOMBRES</t>
  </si>
  <si>
    <t>TELEFONO DE CONTACTO</t>
  </si>
  <si>
    <t>CELULAR DE CONTACTO</t>
  </si>
  <si>
    <t>MOTIVO DE LLAMADA</t>
  </si>
  <si>
    <t>SUBMOTIVO</t>
  </si>
  <si>
    <t>OBSERVACIONES</t>
  </si>
  <si>
    <t>FACTURACIÓN</t>
  </si>
  <si>
    <t>DESDE:</t>
  </si>
  <si>
    <t>HASTA:</t>
  </si>
  <si>
    <t>FECHA DE LLAMADA</t>
  </si>
  <si>
    <t xml:space="preserve">CIUDAD </t>
  </si>
  <si>
    <t>TOTAL</t>
  </si>
  <si>
    <t>%</t>
  </si>
  <si>
    <t>Nivel de Abandono</t>
  </si>
  <si>
    <t>MOTIVO LLAMADA (TRX)</t>
  </si>
  <si>
    <t>ESTADO DE LA LLAMADA</t>
  </si>
  <si>
    <t>MOTIVO DE LA LLAMADA</t>
  </si>
  <si>
    <t>SUB MOTIVO LLAMADA (TRX)</t>
  </si>
  <si>
    <t>HORA DE LLAMADA</t>
  </si>
  <si>
    <t>HORA DE FIN</t>
  </si>
  <si>
    <t>TMO</t>
  </si>
  <si>
    <t>CORREO</t>
  </si>
  <si>
    <t>ESTADO DEL CLIENTE</t>
  </si>
  <si>
    <t>CANALES DE COMUNICACIÓN</t>
  </si>
  <si>
    <t>Atendida</t>
  </si>
  <si>
    <t>Inbound</t>
  </si>
  <si>
    <t>CANAL DE COMUNICACIÓN</t>
  </si>
  <si>
    <t>LÍNEA ATENCIÓN INBOUND</t>
  </si>
  <si>
    <t>REGISTRO DE LLAMADAS DEL MES</t>
  </si>
  <si>
    <t>RESUMEN DE GESTION MES</t>
  </si>
  <si>
    <t>RESUMEN DE LLAMADAS DEL MES</t>
  </si>
  <si>
    <t>COMPARATIVO LLAMADAS CONTESTADAS Y ABANDONADAS</t>
  </si>
  <si>
    <t>0999999999</t>
  </si>
  <si>
    <t>Sin nombres</t>
  </si>
  <si>
    <t>INFORME GESTIÓN INBOUND</t>
  </si>
  <si>
    <t xml:space="preserve">TIPO DE INFORME: </t>
  </si>
  <si>
    <t>INSTITUCIÓN:</t>
  </si>
  <si>
    <t>TIPO DE INFORME:</t>
  </si>
  <si>
    <t>Fecha</t>
  </si>
  <si>
    <t>LLAMADA DE PRUEBA</t>
  </si>
  <si>
    <t>INFORME DE LLAMADAS INBOUND LUCHA CAMPESINA</t>
  </si>
  <si>
    <t xml:space="preserve">IVR </t>
  </si>
  <si>
    <t>Llamadas Contestadas</t>
  </si>
  <si>
    <t>Llamadas de Seguimiento</t>
  </si>
  <si>
    <t>Llamadas Recuperadas</t>
  </si>
  <si>
    <t>Llamadas Abandonadas</t>
  </si>
  <si>
    <t>MENSUAL</t>
  </si>
  <si>
    <t>LUCHA CAMPESINA</t>
  </si>
  <si>
    <t>Etiquetas de fila</t>
  </si>
  <si>
    <t>Número de Llamadas entrantes</t>
  </si>
  <si>
    <t>Número de Llamadas Abandonadas</t>
  </si>
  <si>
    <t>Llamada de prueba</t>
  </si>
  <si>
    <t>RESUMEN DE GESTIÓN INBOUND LUCHA CAMPESINA</t>
  </si>
  <si>
    <t>INFORMACIÓN GENERAL</t>
  </si>
  <si>
    <t>Llamada de prueba.</t>
  </si>
  <si>
    <t>LLAMADA CORTADA</t>
  </si>
  <si>
    <t>Dcevallos1</t>
  </si>
  <si>
    <t>Bballadares7</t>
  </si>
  <si>
    <t>MONITOREO DEL SERVICIO</t>
  </si>
  <si>
    <t>Cleiva7</t>
  </si>
  <si>
    <t>ENTIDAD</t>
  </si>
  <si>
    <t>Jguacho1</t>
  </si>
  <si>
    <t>INFORMACION DE TRANSFERENCIAS</t>
  </si>
  <si>
    <t>Llamadas fantasma</t>
  </si>
  <si>
    <t>CALIDAD DE LLAMADA</t>
  </si>
  <si>
    <t>Llamada cortada</t>
  </si>
  <si>
    <t>Otorres1</t>
  </si>
  <si>
    <t>CONTACTO PARA AGENCIAS</t>
  </si>
  <si>
    <t>INFORMACIÓN DE CRÉDITOS</t>
  </si>
  <si>
    <t>INFORMACIÓN APP</t>
  </si>
  <si>
    <t>100%</t>
  </si>
  <si>
    <t>0%</t>
  </si>
  <si>
    <t>Dvelez2</t>
  </si>
  <si>
    <t>NO APLICA</t>
  </si>
  <si>
    <t>022222222</t>
  </si>
  <si>
    <t>noaplica@kimobill.com</t>
  </si>
  <si>
    <t>Titular</t>
  </si>
  <si>
    <t>INFORMACIÓN DE SERVICIOS</t>
  </si>
  <si>
    <t>020000000</t>
  </si>
  <si>
    <t>No aplica</t>
  </si>
  <si>
    <t>Tochoa7</t>
  </si>
  <si>
    <t>Ltisalema2</t>
  </si>
  <si>
    <t>Gfigueroa1</t>
  </si>
  <si>
    <t>Jgallardo2</t>
  </si>
  <si>
    <t>CUENCA</t>
  </si>
  <si>
    <t>50%</t>
  </si>
  <si>
    <t>Se le brinda información sobre servicios.</t>
  </si>
  <si>
    <t>Llamada cortada.</t>
  </si>
  <si>
    <t>Ejecutivos Kimobill</t>
  </si>
  <si>
    <t>0998781748</t>
  </si>
  <si>
    <t>Vtoapanta1</t>
  </si>
  <si>
    <t>Rmejia1</t>
  </si>
  <si>
    <t>Ahernandez1</t>
  </si>
  <si>
    <t>QUITO</t>
  </si>
  <si>
    <t>CUENTAS DE AHORRO PROGRAMADO</t>
  </si>
  <si>
    <t>EL TRIUNFO</t>
  </si>
  <si>
    <t>75%</t>
  </si>
  <si>
    <t>25%</t>
  </si>
  <si>
    <t>86%</t>
  </si>
  <si>
    <t>14%</t>
  </si>
  <si>
    <t>80%</t>
  </si>
  <si>
    <t>20%</t>
  </si>
  <si>
    <t>90%</t>
  </si>
  <si>
    <t>10%</t>
  </si>
  <si>
    <t>2026-03-01 06:44:35</t>
  </si>
  <si>
    <t>2026-03-01 06:53:11</t>
  </si>
  <si>
    <t>2026-03-02 09:22:43</t>
  </si>
  <si>
    <t>2026-03-02 09:25:09</t>
  </si>
  <si>
    <t>Recuperada</t>
  </si>
  <si>
    <t>1717449167</t>
  </si>
  <si>
    <t>CELI ESPIN GABRIELA ALEXANDRA</t>
  </si>
  <si>
    <t>0987357124</t>
  </si>
  <si>
    <t>Se le está verificando la información y colgó la comunicación.</t>
  </si>
  <si>
    <t>2026-03-02 09:27:28</t>
  </si>
  <si>
    <t>2026-03-02 09:28:51</t>
  </si>
  <si>
    <t>CONTACTO PARA PROPUESTAS</t>
  </si>
  <si>
    <t>Se le menciona el correo de propuesta.</t>
  </si>
  <si>
    <t>2026-03-02 18:59:44</t>
  </si>
  <si>
    <t>2026-03-02 19:02:17</t>
  </si>
  <si>
    <t>0953285608</t>
  </si>
  <si>
    <t>VITE BARCO JOSEPH ANTHONY</t>
  </si>
  <si>
    <t>Milagro</t>
  </si>
  <si>
    <t>0962270923</t>
  </si>
  <si>
    <t>Se informa a socio acercarse a la agencia para conocer las cuotas de su crédito.</t>
  </si>
  <si>
    <t>2026-03-03 02:12:12</t>
  </si>
  <si>
    <t>2026-03-03 02:21:18</t>
  </si>
  <si>
    <t>2026-03-03 08:44:53</t>
  </si>
  <si>
    <t>2026-03-03 08:51:09</t>
  </si>
  <si>
    <t>CORREO ELECTRÓNICO DE FUNCIONARIOS</t>
  </si>
  <si>
    <t>Se entrega correo de propuestas.</t>
  </si>
  <si>
    <t>2026-03-03 11:14:35</t>
  </si>
  <si>
    <t>2026-03-03 11:16:41</t>
  </si>
  <si>
    <t>1750705681</t>
  </si>
  <si>
    <t>ZUMBA MEJIA INDIRA DELIA</t>
  </si>
  <si>
    <t>0979270518</t>
  </si>
  <si>
    <t>EXTENSIONES DE FUNCIONARIOS</t>
  </si>
  <si>
    <t>Se menciona que puede comunicarse con los asesores en horario laboral</t>
  </si>
  <si>
    <t>2026-03-03 15:53:13</t>
  </si>
  <si>
    <t>2026-03-03 15:55:00</t>
  </si>
  <si>
    <t>Contacto de agencias</t>
  </si>
  <si>
    <t>Dlara1</t>
  </si>
  <si>
    <t>2026-03-04 09:48:32</t>
  </si>
  <si>
    <t>2026-03-04 09:57:29</t>
  </si>
  <si>
    <t>0920332939</t>
  </si>
  <si>
    <t>GUADALUPE CARRIEL RAUL ALBERTO</t>
  </si>
  <si>
    <t>0997879510</t>
  </si>
  <si>
    <t>rguadalupe@seguroslaunion.com</t>
  </si>
  <si>
    <t>Información de telefonos de contacto de colaborador.</t>
  </si>
  <si>
    <t>2026-03-04 14:59:01</t>
  </si>
  <si>
    <t>2026-03-04 15:02:47</t>
  </si>
  <si>
    <t>0105763262</t>
  </si>
  <si>
    <t>BUSTAMANTE SEGARRA VICENTE ALBINO</t>
  </si>
  <si>
    <t>0998211460</t>
  </si>
  <si>
    <t>Se entrega el número de la agencia Cumanda</t>
  </si>
  <si>
    <t>2026-03-04 14:47:25</t>
  </si>
  <si>
    <t>2026-03-04 15:05:13</t>
  </si>
  <si>
    <t>Se le brinda la extensión.</t>
  </si>
  <si>
    <t>2026-03-04 15:05:37</t>
  </si>
  <si>
    <t>2026-03-04 15:06:39</t>
  </si>
  <si>
    <t>Husina6</t>
  </si>
  <si>
    <t>2026-03-04 16:30:27</t>
  </si>
  <si>
    <t>2026-03-04 16:35:43</t>
  </si>
  <si>
    <t>0926146242</t>
  </si>
  <si>
    <t>DIAS PEÑAFIEL JOHANNA ELIZABETH</t>
  </si>
  <si>
    <t>INFORMACION DE BANCA VIRTUAL/APP</t>
  </si>
  <si>
    <t>Se menciona que se debe acercar a la agencia</t>
  </si>
  <si>
    <t>2026-03-05 01:11:41</t>
  </si>
  <si>
    <t>2026-03-05 06:35:09</t>
  </si>
  <si>
    <t>2026-03-05 14:30:09</t>
  </si>
  <si>
    <t>2026-03-05 14:33:50</t>
  </si>
  <si>
    <t>0955743661</t>
  </si>
  <si>
    <t>HURTADO PERALTA DANNY AXEL</t>
  </si>
  <si>
    <t>0993055179</t>
  </si>
  <si>
    <t>Se le brinda el contacto de la agencia.</t>
  </si>
  <si>
    <t>2026-03-05 14:33:53</t>
  </si>
  <si>
    <t>2026-03-05 14:35:36</t>
  </si>
  <si>
    <t>Se le brinda la informacion sobre créditos.</t>
  </si>
  <si>
    <t>2026-03-05 14:35:38</t>
  </si>
  <si>
    <t>2026-03-05 14:37:52</t>
  </si>
  <si>
    <t>Se le brinda la información sobre servicios.</t>
  </si>
  <si>
    <t>2026-03-06 08:05:08</t>
  </si>
  <si>
    <t>2026-03-06 08:07:04</t>
  </si>
  <si>
    <t>1206407924</t>
  </si>
  <si>
    <t>GALECIO VILLEGAS ADRIANA MARGARITA</t>
  </si>
  <si>
    <t>0980341685</t>
  </si>
  <si>
    <t>Se entrega información para la pre cancelación del crédito</t>
  </si>
  <si>
    <t>2026-03-07 08:32:41</t>
  </si>
  <si>
    <t>2026-03-07 08:36:54</t>
  </si>
  <si>
    <t>0928993492</t>
  </si>
  <si>
    <t>ESPINOZA RIVERA DIANA GUADALUPE</t>
  </si>
  <si>
    <t>0969271914</t>
  </si>
  <si>
    <t>Se le menciona cómo puede verificar el número de cuenta</t>
  </si>
  <si>
    <t>2026-03-07 18:24:52</t>
  </si>
  <si>
    <t>2026-03-07 18:33:23</t>
  </si>
  <si>
    <t>0940607815</t>
  </si>
  <si>
    <t>VALLE PALAGUACHI THALYA VICTORIA</t>
  </si>
  <si>
    <t>0990864061</t>
  </si>
  <si>
    <t>CUENTAS DE AHORRO</t>
  </si>
  <si>
    <t>Se indica que para su requerimiento debe acercarse a la agencia.</t>
  </si>
  <si>
    <t>2026-03-08 16:55:29</t>
  </si>
  <si>
    <t>2026-03-08 16:57:12</t>
  </si>
  <si>
    <t>0931956924</t>
  </si>
  <si>
    <t>CARRASCO PERALTA GINGER ZULAY</t>
  </si>
  <si>
    <t>0982556321</t>
  </si>
  <si>
    <t>2026-03-08 17:00:03</t>
  </si>
  <si>
    <t>2026-03-08 17:01:48</t>
  </si>
  <si>
    <t>Se corta la llamada no se realiza el proceso.</t>
  </si>
  <si>
    <t>2026-03-09 12:51:42</t>
  </si>
  <si>
    <t>2026-03-09 12:51:51</t>
  </si>
  <si>
    <t>0912546090</t>
  </si>
  <si>
    <t>NICOLA VELASQUEZ BRENDA ALICIA</t>
  </si>
  <si>
    <t>0997929634</t>
  </si>
  <si>
    <t>Se entrega información y requisitos para el cierre de cuenta</t>
  </si>
  <si>
    <t>2026-03-09 12:48:52</t>
  </si>
  <si>
    <t>2026-03-09 12:51:03</t>
  </si>
  <si>
    <t>Se entrega contacto de agencia</t>
  </si>
  <si>
    <t>2026-03-09 15:12:09</t>
  </si>
  <si>
    <t>2026-03-09 15:18:25</t>
  </si>
  <si>
    <t>0927843631</t>
  </si>
  <si>
    <t>RUIZ ABARCA JOSE FRANCISCO</t>
  </si>
  <si>
    <t>0982805505</t>
  </si>
  <si>
    <t>Información del ahorro programado.</t>
  </si>
  <si>
    <t>2026-03-09 15:18:12</t>
  </si>
  <si>
    <t>2026-03-09 15:18:56</t>
  </si>
  <si>
    <t>Información del pago del crédito.</t>
  </si>
  <si>
    <t>2026-03-10 10:07:39</t>
  </si>
  <si>
    <t>2026-03-10 10:14:59</t>
  </si>
  <si>
    <t>0401363981</t>
  </si>
  <si>
    <t>BENAVIDES NARVAEZ DIEGO GERMAN</t>
  </si>
  <si>
    <t>Información de  contacto de agencia.</t>
  </si>
  <si>
    <t>2026-03-11 06:15:35</t>
  </si>
  <si>
    <t>2026-03-11 06:26:43</t>
  </si>
  <si>
    <t>2026-03-12 06:09:00</t>
  </si>
  <si>
    <t>2026-03-12 06:10:22</t>
  </si>
  <si>
    <t>0964256168</t>
  </si>
  <si>
    <t>Macaro1</t>
  </si>
  <si>
    <t>2026-03-12 12:55:12</t>
  </si>
  <si>
    <t>2026-03-12 12:57:06</t>
  </si>
  <si>
    <t>9999999999</t>
  </si>
  <si>
    <t>2026-03-12 12:57:36</t>
  </si>
  <si>
    <t>2026-03-12 12:57:59</t>
  </si>
  <si>
    <t>2026-03-13 05:42:57</t>
  </si>
  <si>
    <t>2026-03-13 05:53:26</t>
  </si>
  <si>
    <t>2026-03-13 11:16:32</t>
  </si>
  <si>
    <t>2026-03-13 11:24:11</t>
  </si>
  <si>
    <t>0350006664</t>
  </si>
  <si>
    <t>ORTEGA MONTOYA EMILY ANTONIETA</t>
  </si>
  <si>
    <t>AZOGUES</t>
  </si>
  <si>
    <t>0968386664</t>
  </si>
  <si>
    <t>emi182105@hotmail.com</t>
  </si>
  <si>
    <t>QUEJAS</t>
  </si>
  <si>
    <t>POR EL CREDITO</t>
  </si>
  <si>
    <t>Se ingresa PQRS exitosamente.</t>
  </si>
  <si>
    <t>2026-03-14 02:13:32</t>
  </si>
  <si>
    <t>2026-03-14 02:14:22</t>
  </si>
  <si>
    <t>Prueba</t>
  </si>
  <si>
    <t>2026-03-15 06:33:01</t>
  </si>
  <si>
    <t>2026-03-15 06:34:57</t>
  </si>
  <si>
    <t>2026-03-15 12:34:06</t>
  </si>
  <si>
    <t>2026-03-15 13:10:35</t>
  </si>
  <si>
    <t>1720807468</t>
  </si>
  <si>
    <t>BARRAGAN MACIAS MARIA BELEN</t>
  </si>
  <si>
    <t>0991093134</t>
  </si>
  <si>
    <t>Información de servivios funerarios</t>
  </si>
  <si>
    <t>Dmunoz9</t>
  </si>
  <si>
    <t>2026-03-15 14:02:38</t>
  </si>
  <si>
    <t>2026-03-15 14:04:25</t>
  </si>
  <si>
    <t>Socio corta la llamada</t>
  </si>
  <si>
    <t>2026-03-15 14:04:33</t>
  </si>
  <si>
    <t>2026-03-15 14:08:20</t>
  </si>
  <si>
    <t>se direcciona a socia para que se comunique con servicios de la cooperativa  para servicios exequial</t>
  </si>
  <si>
    <t>2026-03-16 01:45:04</t>
  </si>
  <si>
    <t>2026-03-16 01:45:55</t>
  </si>
  <si>
    <t>2026-03-16 08:56:14</t>
  </si>
  <si>
    <t>2026-03-16 09:01:16</t>
  </si>
  <si>
    <t>1307832780</t>
  </si>
  <si>
    <t>VERA ROSADO AIDA SEGUNDA</t>
  </si>
  <si>
    <t>0990067097</t>
  </si>
  <si>
    <t>Se otorga información de la App.</t>
  </si>
  <si>
    <t>2026-03-18 05:39:20</t>
  </si>
  <si>
    <t>2026-03-18 05:40:07</t>
  </si>
  <si>
    <t>2026-03-20 06:27:02</t>
  </si>
  <si>
    <t>2026-03-20 06:29:43</t>
  </si>
  <si>
    <t>0964256868</t>
  </si>
  <si>
    <t>2026-03-23 05:10:54</t>
  </si>
  <si>
    <t>2026-03-23 05:13:20</t>
  </si>
  <si>
    <t>2026-03-24 10:25:30</t>
  </si>
  <si>
    <t>2026-03-24 10:26:58</t>
  </si>
  <si>
    <t>Llamada cortada no hubo ni siquiera saludo.</t>
  </si>
  <si>
    <t>2026-03-24 10:26:02</t>
  </si>
  <si>
    <t>2026-03-24 10:27:21</t>
  </si>
  <si>
    <t>Llamada sin audio</t>
  </si>
  <si>
    <t>2026-03-24 10:29:40</t>
  </si>
  <si>
    <t>2026-03-24 10:30:08</t>
  </si>
  <si>
    <t>099999999999999</t>
  </si>
  <si>
    <t>0984361484</t>
  </si>
  <si>
    <t>2026-03-25</t>
  </si>
  <si>
    <t>2026-03-25 04:54:04</t>
  </si>
  <si>
    <t>2026-03-25 04:56:20</t>
  </si>
  <si>
    <t>Mproano1</t>
  </si>
  <si>
    <t>2026-03-26</t>
  </si>
  <si>
    <t>2026-03-26 13:21:45</t>
  </si>
  <si>
    <t>2026-03-26 13:31:00</t>
  </si>
  <si>
    <t>17132301713</t>
  </si>
  <si>
    <t>CAHUASQUI PROAÑO PABLO ESTEBAN</t>
  </si>
  <si>
    <t>0984644099</t>
  </si>
  <si>
    <t>S e comunica tercera persona por solicitar información de socio</t>
  </si>
  <si>
    <t>Jvalencia1</t>
  </si>
  <si>
    <t>2026-03-27</t>
  </si>
  <si>
    <t>2026-03-27 14:15:23</t>
  </si>
  <si>
    <t>2026-03-27 14:33:51</t>
  </si>
  <si>
    <t>1205803750</t>
  </si>
  <si>
    <t>SALDAÑA APUANGO WALTER RICARDO</t>
  </si>
  <si>
    <t>Socio se comunica para solicitar numero de cuenta.</t>
  </si>
  <si>
    <t>2026-03-28</t>
  </si>
  <si>
    <t>2026-03-28 04:35:12</t>
  </si>
  <si>
    <t>2026-03-28 04:40:47</t>
  </si>
  <si>
    <t>2026-03-29</t>
  </si>
  <si>
    <t>2026-03-29 05:17:43</t>
  </si>
  <si>
    <t>2026-03-29 05:18:08</t>
  </si>
  <si>
    <t>2026-03-30</t>
  </si>
  <si>
    <t>2026-03-30 04:25:20</t>
  </si>
  <si>
    <t>2026-03-30 04:27:32</t>
  </si>
  <si>
    <t>LLamada de prueba</t>
  </si>
  <si>
    <t>2026-03-31</t>
  </si>
  <si>
    <t>2026-03-31 05:28:27</t>
  </si>
  <si>
    <t>2026-03-31 05:47:07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</si>
</sst>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dd/mm/yyyy;@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rial Rounded MT Bold"/>
      <family val="2"/>
    </font>
    <font>
      <sz val="12"/>
      <name val="Arial Rounded MT Bold"/>
      <family val="2"/>
    </font>
    <font>
      <b/>
      <sz val="14"/>
      <color theme="1"/>
      <name val="Arial Rounded MT Bold"/>
      <family val="2"/>
    </font>
    <font>
      <sz val="14"/>
      <color theme="1"/>
      <name val="Times New Roman"/>
      <family val="1"/>
    </font>
    <font>
      <b/>
      <i/>
      <sz val="16"/>
      <color theme="0"/>
      <name val="Times New Roman"/>
      <family val="1"/>
    </font>
    <font>
      <u/>
      <sz val="11"/>
      <color theme="10"/>
      <name val="Times New Roman"/>
      <family val="1"/>
    </font>
    <font>
      <sz val="12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Arial Rounded MT Bold"/>
      <family val="2"/>
    </font>
    <font>
      <u/>
      <sz val="11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33CC33"/>
      </left>
      <right/>
      <top style="medium">
        <color rgb="FF33CC33"/>
      </top>
      <bottom/>
      <diagonal/>
    </border>
    <border>
      <left/>
      <right/>
      <top style="medium">
        <color rgb="FF33CC33"/>
      </top>
      <bottom/>
      <diagonal/>
    </border>
    <border>
      <left/>
      <right style="medium">
        <color rgb="FF33CC33"/>
      </right>
      <top style="medium">
        <color rgb="FF33CC33"/>
      </top>
      <bottom/>
      <diagonal/>
    </border>
    <border>
      <left style="medium">
        <color rgb="FF33CC33"/>
      </left>
      <right/>
      <top/>
      <bottom/>
      <diagonal/>
    </border>
    <border>
      <left/>
      <right style="medium">
        <color rgb="FF33CC33"/>
      </right>
      <top/>
      <bottom/>
      <diagonal/>
    </border>
    <border>
      <left style="medium">
        <color rgb="FF33CC33"/>
      </left>
      <right/>
      <top/>
      <bottom style="medium">
        <color rgb="FF33CC33"/>
      </bottom>
      <diagonal/>
    </border>
    <border>
      <left/>
      <right/>
      <top/>
      <bottom style="medium">
        <color rgb="FF33CC33"/>
      </bottom>
      <diagonal/>
    </border>
    <border>
      <left/>
      <right style="medium">
        <color rgb="FF33CC33"/>
      </right>
      <top/>
      <bottom style="medium">
        <color rgb="FF33CC33"/>
      </bottom>
      <diagonal/>
    </border>
    <border>
      <left style="thin">
        <color rgb="FF33CC33"/>
      </left>
      <right style="thin">
        <color rgb="FF33CC33"/>
      </right>
      <top style="thin">
        <color rgb="FF33CC33"/>
      </top>
      <bottom style="thin">
        <color rgb="FF33CC33"/>
      </bottom>
      <diagonal/>
    </border>
    <border>
      <left style="medium">
        <color rgb="FF33CC33"/>
      </left>
      <right style="thin">
        <color indexed="64"/>
      </right>
      <top style="medium">
        <color rgb="FF33CC33"/>
      </top>
      <bottom/>
      <diagonal/>
    </border>
    <border>
      <left style="thin">
        <color indexed="64"/>
      </left>
      <right style="thin">
        <color indexed="64"/>
      </right>
      <top style="medium">
        <color rgb="FF33CC33"/>
      </top>
      <bottom/>
      <diagonal/>
    </border>
    <border>
      <left style="thin">
        <color indexed="64"/>
      </left>
      <right style="medium">
        <color rgb="FF33CC33"/>
      </right>
      <top style="medium">
        <color rgb="FF33CC33"/>
      </top>
      <bottom/>
      <diagonal/>
    </border>
    <border>
      <left style="thin">
        <color rgb="FF33CC33"/>
      </left>
      <right style="thin">
        <color rgb="FF33CC33"/>
      </right>
      <top/>
      <bottom style="thin">
        <color rgb="FF33CC33"/>
      </bottom>
      <diagonal/>
    </border>
    <border>
      <left style="medium">
        <color rgb="FF33CC33"/>
      </left>
      <right/>
      <top style="medium">
        <color rgb="FF33CC33"/>
      </top>
      <bottom style="medium">
        <color rgb="FF33CC33"/>
      </bottom>
      <diagonal/>
    </border>
    <border>
      <left/>
      <right/>
      <top style="medium">
        <color rgb="FF33CC33"/>
      </top>
      <bottom style="medium">
        <color rgb="FF33CC33"/>
      </bottom>
      <diagonal/>
    </border>
    <border>
      <left/>
      <right style="medium">
        <color rgb="FF33CC33"/>
      </right>
      <top style="medium">
        <color rgb="FF33CC33"/>
      </top>
      <bottom style="medium">
        <color rgb="FF33CC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33CC33"/>
      </left>
      <right/>
      <top style="medium">
        <color rgb="FF33CC33"/>
      </top>
      <bottom style="thin">
        <color rgb="FF33CC33"/>
      </bottom>
      <diagonal/>
    </border>
    <border>
      <left/>
      <right/>
      <top style="medium">
        <color rgb="FF33CC33"/>
      </top>
      <bottom style="thin">
        <color rgb="FF33CC33"/>
      </bottom>
      <diagonal/>
    </border>
    <border>
      <left/>
      <right/>
      <top style="thin">
        <color rgb="FF33CC33"/>
      </top>
      <bottom style="thin">
        <color rgb="FF33CC33"/>
      </bottom>
      <diagonal/>
    </border>
    <border>
      <left/>
      <right style="medium">
        <color rgb="FF33CC33"/>
      </right>
      <top style="medium">
        <color rgb="FF33CC33"/>
      </top>
      <bottom style="thin">
        <color rgb="FF33CC33"/>
      </bottom>
      <diagonal/>
    </border>
    <border>
      <left style="medium">
        <color rgb="FF33CC33"/>
      </left>
      <right/>
      <top style="thin">
        <color rgb="FF33CC33"/>
      </top>
      <bottom style="thin">
        <color rgb="FF33CC33"/>
      </bottom>
      <diagonal/>
    </border>
    <border>
      <left/>
      <right style="medium">
        <color rgb="FF33CC33"/>
      </right>
      <top style="thin">
        <color rgb="FF33CC33"/>
      </top>
      <bottom style="thin">
        <color rgb="FF33CC33"/>
      </bottom>
      <diagonal/>
    </border>
    <border>
      <left style="medium">
        <color rgb="FF33CC33"/>
      </left>
      <right/>
      <top style="thin">
        <color rgb="FF33CC33"/>
      </top>
      <bottom style="medium">
        <color rgb="FF33CC33"/>
      </bottom>
      <diagonal/>
    </border>
    <border>
      <left/>
      <right/>
      <top style="thin">
        <color rgb="FF33CC33"/>
      </top>
      <bottom style="medium">
        <color rgb="FF33CC33"/>
      </bottom>
      <diagonal/>
    </border>
    <border>
      <left/>
      <right style="medium">
        <color rgb="FF33CC33"/>
      </right>
      <top style="thin">
        <color rgb="FF33CC33"/>
      </top>
      <bottom style="medium">
        <color rgb="FF33CC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CC33"/>
      </left>
      <right style="thin">
        <color rgb="FF33CC3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03">
    <xf numFmtId="0" fontId="0" fillId="0" borderId="0" xfId="0"/>
    <xf numFmtId="0" fontId="21" fillId="0" borderId="0" xfId="0" applyFo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1" fillId="33" borderId="0" xfId="0" applyFont="1" applyFill="1"/>
    <xf numFmtId="0" fontId="22" fillId="33" borderId="0" xfId="0" applyFont="1" applyFill="1" applyAlignment="1">
      <alignment horizontal="left" vertical="center" wrapText="1"/>
    </xf>
    <xf numFmtId="0" fontId="20" fillId="33" borderId="0" xfId="0" applyFont="1" applyFill="1" applyAlignment="1">
      <alignment horizontal="center"/>
    </xf>
    <xf numFmtId="0" fontId="21" fillId="0" borderId="0" xfId="0" applyFont="1" applyAlignment="1">
      <alignment wrapText="1"/>
    </xf>
    <xf numFmtId="0" fontId="24" fillId="33" borderId="0" xfId="0" applyFont="1" applyFill="1" applyAlignment="1">
      <alignment horizontal="center" vertical="center" wrapText="1"/>
    </xf>
    <xf numFmtId="37" fontId="25" fillId="0" borderId="0" xfId="0" applyNumberFormat="1" applyFont="1" applyAlignment="1">
      <alignment horizontal="center" vertical="center" wrapText="1"/>
    </xf>
    <xf numFmtId="10" fontId="25" fillId="0" borderId="0" xfId="42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26" fillId="0" borderId="0" xfId="0" applyFont="1"/>
    <xf numFmtId="0" fontId="21" fillId="0" borderId="0" xfId="0" pivotButton="1" applyFont="1"/>
    <xf numFmtId="0" fontId="27" fillId="0" borderId="0" xfId="0" applyFont="1" applyAlignment="1">
      <alignment vertical="center"/>
    </xf>
    <xf numFmtId="0" fontId="29" fillId="33" borderId="0" xfId="0" applyFont="1" applyFill="1" applyAlignment="1">
      <alignment horizontal="left"/>
    </xf>
    <xf numFmtId="0" fontId="30" fillId="33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0" fillId="0" borderId="0" xfId="0" pivotButton="1"/>
    <xf numFmtId="164" fontId="0" fillId="0" borderId="0" xfId="0" applyNumberFormat="1" applyAlignment="1">
      <alignment horizontal="left"/>
    </xf>
    <xf numFmtId="0" fontId="25" fillId="0" borderId="0" xfId="0" applyFont="1" applyAlignment="1">
      <alignment horizontal="center" vertical="center" wrapText="1"/>
    </xf>
    <xf numFmtId="0" fontId="0" fillId="0" borderId="0" xfId="0" applyNumberFormat="1"/>
    <xf numFmtId="0" fontId="37" fillId="0" borderId="0" xfId="0" applyFont="1" applyAlignment="1">
      <alignment vertical="center"/>
    </xf>
    <xf numFmtId="0" fontId="38" fillId="0" borderId="0" xfId="43" applyFont="1" applyFill="1" applyBorder="1" applyAlignment="1">
      <alignment vertical="center" wrapText="1"/>
    </xf>
    <xf numFmtId="49" fontId="27" fillId="0" borderId="0" xfId="0" applyNumberFormat="1" applyFont="1" applyFill="1" applyAlignment="1">
      <alignment horizontal="left"/>
    </xf>
    <xf numFmtId="49" fontId="39" fillId="0" borderId="0" xfId="0" applyNumberFormat="1" applyFont="1" applyFill="1" applyAlignment="1">
      <alignment horizontal="left"/>
    </xf>
    <xf numFmtId="49" fontId="27" fillId="0" borderId="0" xfId="0" applyNumberFormat="1" applyFont="1" applyFill="1" applyAlignment="1">
      <alignment horizontal="center" vertical="center" wrapText="1"/>
    </xf>
    <xf numFmtId="49" fontId="32" fillId="35" borderId="26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Alignment="1">
      <alignment horizontal="center"/>
    </xf>
    <xf numFmtId="49" fontId="27" fillId="0" borderId="36" xfId="0" applyNumberFormat="1" applyFont="1" applyFill="1" applyBorder="1" applyAlignment="1">
      <alignment horizontal="left"/>
    </xf>
    <xf numFmtId="49" fontId="39" fillId="0" borderId="36" xfId="0" applyNumberFormat="1" applyFont="1" applyFill="1" applyBorder="1" applyAlignment="1">
      <alignment horizontal="left"/>
    </xf>
    <xf numFmtId="0" fontId="32" fillId="35" borderId="37" xfId="0" applyFont="1" applyFill="1" applyBorder="1" applyAlignment="1">
      <alignment horizontal="center" vertical="center" wrapText="1"/>
    </xf>
    <xf numFmtId="0" fontId="20" fillId="35" borderId="37" xfId="0" applyFont="1" applyFill="1" applyBorder="1" applyAlignment="1">
      <alignment horizontal="center" vertical="center" wrapText="1"/>
    </xf>
    <xf numFmtId="0" fontId="24" fillId="0" borderId="22" xfId="0" applyFont="1" applyFill="1" applyBorder="1" applyAlignment="1">
      <alignment horizontal="center" vertical="center" wrapText="1"/>
    </xf>
    <xf numFmtId="37" fontId="25" fillId="0" borderId="22" xfId="0" applyNumberFormat="1" applyFont="1" applyFill="1" applyBorder="1" applyAlignment="1">
      <alignment horizontal="center" vertical="center" wrapText="1"/>
    </xf>
    <xf numFmtId="9" fontId="25" fillId="0" borderId="22" xfId="42" applyNumberFormat="1" applyFont="1" applyFill="1" applyBorder="1" applyAlignment="1">
      <alignment horizontal="center" vertical="center" wrapText="1"/>
    </xf>
    <xf numFmtId="164" fontId="23" fillId="0" borderId="36" xfId="0" applyNumberFormat="1" applyFont="1" applyFill="1" applyBorder="1" applyAlignment="1">
      <alignment horizontal="left" vertical="top"/>
    </xf>
    <xf numFmtId="0" fontId="21" fillId="0" borderId="36" xfId="0" applyFont="1" applyFill="1" applyBorder="1" applyAlignment="1">
      <alignment horizontal="center"/>
    </xf>
    <xf numFmtId="49" fontId="21" fillId="0" borderId="36" xfId="0" applyNumberFormat="1" applyFont="1" applyFill="1" applyBorder="1" applyAlignment="1">
      <alignment horizontal="center"/>
    </xf>
    <xf numFmtId="9" fontId="23" fillId="0" borderId="36" xfId="42" applyFont="1" applyFill="1" applyBorder="1" applyAlignment="1">
      <alignment horizontal="center" vertical="top"/>
    </xf>
    <xf numFmtId="9" fontId="21" fillId="0" borderId="36" xfId="42" applyFont="1" applyFill="1" applyBorder="1" applyAlignment="1">
      <alignment horizontal="center"/>
    </xf>
    <xf numFmtId="49" fontId="27" fillId="0" borderId="0" xfId="0" applyNumberFormat="1" applyFont="1" applyFill="1" applyBorder="1" applyAlignment="1">
      <alignment horizontal="left"/>
    </xf>
    <xf numFmtId="49" fontId="27" fillId="0" borderId="0" xfId="0" applyNumberFormat="1" applyFont="1" applyFill="1" applyBorder="1" applyAlignment="1">
      <alignment horizontal="center" vertical="center" wrapText="1"/>
    </xf>
    <xf numFmtId="49" fontId="32" fillId="35" borderId="36" xfId="0" applyNumberFormat="1" applyFont="1" applyFill="1" applyBorder="1" applyAlignment="1">
      <alignment horizontal="center" vertical="center" wrapText="1"/>
    </xf>
    <xf numFmtId="0" fontId="21" fillId="0" borderId="36" xfId="0" applyNumberFormat="1" applyFont="1" applyFill="1" applyBorder="1" applyAlignment="1">
      <alignment horizontal="center"/>
    </xf>
    <xf numFmtId="10" fontId="21" fillId="0" borderId="36" xfId="0" applyNumberFormat="1" applyFont="1" applyFill="1" applyBorder="1" applyAlignment="1">
      <alignment horizontal="center"/>
    </xf>
    <xf numFmtId="0" fontId="21" fillId="0" borderId="36" xfId="0" applyFont="1" applyFill="1" applyBorder="1"/>
    <xf numFmtId="0" fontId="21" fillId="0" borderId="36" xfId="0" applyFont="1" applyFill="1" applyBorder="1" applyAlignment="1">
      <alignment horizontal="left"/>
    </xf>
    <xf numFmtId="0" fontId="21" fillId="0" borderId="36" xfId="0" applyFont="1" applyFill="1" applyBorder="1" applyAlignment="1">
      <alignment horizontal="left" indent="1"/>
    </xf>
    <xf numFmtId="10" fontId="21" fillId="0" borderId="39" xfId="0" applyNumberFormat="1" applyFont="1" applyFill="1" applyBorder="1" applyAlignment="1">
      <alignment horizontal="center"/>
    </xf>
    <xf numFmtId="0" fontId="21" fillId="0" borderId="40" xfId="0" applyFont="1" applyFill="1" applyBorder="1" applyAlignment="1">
      <alignment horizontal="left" indent="1"/>
    </xf>
    <xf numFmtId="10" fontId="21" fillId="0" borderId="42" xfId="0" applyNumberFormat="1" applyFont="1" applyFill="1" applyBorder="1" applyAlignment="1">
      <alignment horizontal="center"/>
    </xf>
    <xf numFmtId="0" fontId="21" fillId="0" borderId="40" xfId="0" applyNumberFormat="1" applyFont="1" applyFill="1" applyBorder="1" applyAlignment="1">
      <alignment horizontal="center"/>
    </xf>
    <xf numFmtId="0" fontId="21" fillId="0" borderId="41" xfId="0" applyNumberFormat="1" applyFont="1" applyFill="1" applyBorder="1" applyAlignment="1">
      <alignment horizontal="center"/>
    </xf>
    <xf numFmtId="0" fontId="21" fillId="0" borderId="38" xfId="0" applyFont="1" applyFill="1" applyBorder="1" applyAlignment="1">
      <alignment horizontal="left"/>
    </xf>
    <xf numFmtId="0" fontId="21" fillId="0" borderId="38" xfId="0" applyFont="1" applyFill="1" applyBorder="1" applyAlignment="1">
      <alignment horizontal="left" indent="1"/>
    </xf>
    <xf numFmtId="0" fontId="21" fillId="0" borderId="43" xfId="0" applyFont="1" applyFill="1" applyBorder="1" applyAlignment="1">
      <alignment horizontal="left" indent="1"/>
    </xf>
    <xf numFmtId="0" fontId="21" fillId="0" borderId="36" xfId="0" applyNumberFormat="1" applyFont="1" applyFill="1" applyBorder="1"/>
    <xf numFmtId="10" fontId="21" fillId="0" borderId="36" xfId="0" applyNumberFormat="1" applyFont="1" applyFill="1" applyBorder="1"/>
    <xf numFmtId="14" fontId="27" fillId="0" borderId="36" xfId="0" applyNumberFormat="1" applyFont="1" applyFill="1" applyBorder="1" applyAlignment="1">
      <alignment horizontal="left"/>
    </xf>
    <xf numFmtId="0" fontId="40" fillId="34" borderId="18" xfId="0" applyFont="1" applyFill="1" applyBorder="1" applyAlignment="1">
      <alignment horizontal="left"/>
    </xf>
    <xf numFmtId="165" fontId="36" fillId="0" borderId="18" xfId="0" applyNumberFormat="1" applyFont="1" applyBorder="1" applyAlignment="1">
      <alignment horizontal="center"/>
    </xf>
    <xf numFmtId="0" fontId="26" fillId="35" borderId="27" xfId="0" applyFont="1" applyFill="1" applyBorder="1" applyAlignment="1">
      <alignment horizontal="center" vertical="center"/>
    </xf>
    <xf numFmtId="0" fontId="26" fillId="35" borderId="28" xfId="0" applyFont="1" applyFill="1" applyBorder="1" applyAlignment="1">
      <alignment horizontal="center" vertical="center"/>
    </xf>
    <xf numFmtId="0" fontId="26" fillId="35" borderId="30" xfId="0" applyFont="1" applyFill="1" applyBorder="1" applyAlignment="1">
      <alignment horizontal="center" vertical="center"/>
    </xf>
    <xf numFmtId="0" fontId="42" fillId="34" borderId="31" xfId="43" applyFont="1" applyFill="1" applyBorder="1" applyAlignment="1">
      <alignment horizontal="center" vertical="center" wrapText="1"/>
    </xf>
    <xf numFmtId="0" fontId="42" fillId="34" borderId="29" xfId="43" applyFont="1" applyFill="1" applyBorder="1" applyAlignment="1">
      <alignment horizontal="center" vertical="center" wrapText="1"/>
    </xf>
    <xf numFmtId="0" fontId="42" fillId="34" borderId="32" xfId="43" applyFont="1" applyFill="1" applyBorder="1" applyAlignment="1">
      <alignment horizontal="center" vertical="center" wrapText="1"/>
    </xf>
    <xf numFmtId="0" fontId="42" fillId="34" borderId="33" xfId="43" applyFont="1" applyFill="1" applyBorder="1" applyAlignment="1">
      <alignment horizontal="center" vertical="center" wrapText="1"/>
    </xf>
    <xf numFmtId="0" fontId="42" fillId="34" borderId="34" xfId="43" applyFont="1" applyFill="1" applyBorder="1" applyAlignment="1">
      <alignment horizontal="center" vertical="center" wrapText="1"/>
    </xf>
    <xf numFmtId="0" fontId="42" fillId="34" borderId="35" xfId="43" applyFont="1" applyFill="1" applyBorder="1" applyAlignment="1">
      <alignment horizontal="center" vertical="center" wrapText="1"/>
    </xf>
    <xf numFmtId="0" fontId="28" fillId="35" borderId="10" xfId="0" applyFont="1" applyFill="1" applyBorder="1" applyAlignment="1">
      <alignment horizontal="center" vertical="center"/>
    </xf>
    <xf numFmtId="0" fontId="28" fillId="35" borderId="11" xfId="0" applyFont="1" applyFill="1" applyBorder="1" applyAlignment="1">
      <alignment horizontal="center" vertical="center"/>
    </xf>
    <xf numFmtId="0" fontId="28" fillId="35" borderId="12" xfId="0" applyFont="1" applyFill="1" applyBorder="1" applyAlignment="1">
      <alignment horizontal="center" vertical="center"/>
    </xf>
    <xf numFmtId="0" fontId="28" fillId="35" borderId="13" xfId="0" applyFont="1" applyFill="1" applyBorder="1" applyAlignment="1">
      <alignment horizontal="center" vertical="center"/>
    </xf>
    <xf numFmtId="0" fontId="28" fillId="35" borderId="0" xfId="0" applyFont="1" applyFill="1" applyAlignment="1">
      <alignment horizontal="center" vertical="center"/>
    </xf>
    <xf numFmtId="0" fontId="28" fillId="35" borderId="14" xfId="0" applyFont="1" applyFill="1" applyBorder="1" applyAlignment="1">
      <alignment horizontal="center" vertical="center"/>
    </xf>
    <xf numFmtId="0" fontId="28" fillId="35" borderId="15" xfId="0" applyFont="1" applyFill="1" applyBorder="1" applyAlignment="1">
      <alignment horizontal="center" vertical="center"/>
    </xf>
    <xf numFmtId="0" fontId="28" fillId="35" borderId="16" xfId="0" applyFont="1" applyFill="1" applyBorder="1" applyAlignment="1">
      <alignment horizontal="center" vertical="center"/>
    </xf>
    <xf numFmtId="0" fontId="28" fillId="35" borderId="17" xfId="0" applyFont="1" applyFill="1" applyBorder="1" applyAlignment="1">
      <alignment horizontal="center" vertical="center"/>
    </xf>
    <xf numFmtId="0" fontId="26" fillId="35" borderId="19" xfId="0" applyFont="1" applyFill="1" applyBorder="1" applyAlignment="1">
      <alignment horizontal="center"/>
    </xf>
    <xf numFmtId="0" fontId="26" fillId="35" borderId="20" xfId="0" applyFont="1" applyFill="1" applyBorder="1" applyAlignment="1">
      <alignment horizontal="center"/>
    </xf>
    <xf numFmtId="0" fontId="26" fillId="35" borderId="21" xfId="0" applyFont="1" applyFill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3" fillId="35" borderId="18" xfId="0" applyFont="1" applyFill="1" applyBorder="1" applyAlignment="1">
      <alignment horizontal="left" vertical="center" wrapText="1"/>
    </xf>
    <xf numFmtId="0" fontId="35" fillId="0" borderId="23" xfId="0" applyFont="1" applyFill="1" applyBorder="1" applyAlignment="1">
      <alignment horizontal="center" vertical="center"/>
    </xf>
    <xf numFmtId="0" fontId="35" fillId="0" borderId="24" xfId="0" applyFont="1" applyFill="1" applyBorder="1" applyAlignment="1">
      <alignment horizontal="center" vertical="center"/>
    </xf>
    <xf numFmtId="0" fontId="35" fillId="0" borderId="25" xfId="0" applyFont="1" applyFill="1" applyBorder="1" applyAlignment="1">
      <alignment horizontal="center" vertical="center"/>
    </xf>
    <xf numFmtId="0" fontId="41" fillId="35" borderId="10" xfId="0" applyFont="1" applyFill="1" applyBorder="1" applyAlignment="1">
      <alignment horizontal="center" vertical="center"/>
    </xf>
    <xf numFmtId="0" fontId="41" fillId="35" borderId="11" xfId="0" applyFont="1" applyFill="1" applyBorder="1" applyAlignment="1">
      <alignment horizontal="center" vertical="center"/>
    </xf>
    <xf numFmtId="0" fontId="41" fillId="35" borderId="13" xfId="0" applyFont="1" applyFill="1" applyBorder="1" applyAlignment="1">
      <alignment horizontal="center" vertical="center"/>
    </xf>
    <xf numFmtId="0" fontId="41" fillId="35" borderId="0" xfId="0" applyFont="1" applyFill="1" applyAlignment="1">
      <alignment horizontal="center" vertical="center"/>
    </xf>
    <xf numFmtId="0" fontId="34" fillId="0" borderId="18" xfId="0" applyFont="1" applyFill="1" applyBorder="1" applyAlignment="1">
      <alignment horizontal="center" wrapText="1"/>
    </xf>
    <xf numFmtId="165" fontId="34" fillId="0" borderId="18" xfId="0" applyNumberFormat="1" applyFont="1" applyFill="1" applyBorder="1" applyAlignment="1">
      <alignment horizontal="center" wrapText="1"/>
    </xf>
    <xf numFmtId="49" fontId="26" fillId="0" borderId="0" xfId="0" applyNumberFormat="1" applyFont="1" applyFill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31" fillId="33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3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43"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ill>
        <patternFill patternType="solid">
          <bgColor rgb="FFFFC000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horizontal="center"/>
    </dxf>
    <dxf>
      <fill>
        <patternFill patternType="solid">
          <bgColor rgb="FFFFC000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rgb="FF009900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horizontal="center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33CC33"/>
        </patternFill>
      </fill>
    </dxf>
    <dxf>
      <fill>
        <patternFill>
          <bgColor rgb="FF009900"/>
        </patternFill>
      </fill>
    </dxf>
    <dxf>
      <fill>
        <patternFill>
          <bgColor rgb="FF009900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rgb="FF009900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rgb="FFFFC000"/>
        </patternFill>
      </fill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rgb="FFFFC000"/>
        </patternFill>
      </fill>
    </dxf>
    <dxf>
      <alignment horizontal="center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009900"/>
        </patternFill>
      </fill>
    </dxf>
    <dxf>
      <fill>
        <patternFill patternType="solid">
          <bgColor rgb="FF009900"/>
        </patternFill>
      </fill>
    </dxf>
    <dxf>
      <fill>
        <patternFill>
          <bgColor rgb="FF009900"/>
        </patternFill>
      </fill>
    </dxf>
    <dxf>
      <fill>
        <patternFill>
          <bgColor rgb="FF009900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ill>
        <patternFill>
          <bgColor rgb="FFFFF6D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  <border>
        <left style="double">
          <color rgb="FF92D050"/>
        </left>
        <right style="double">
          <color rgb="FF92D050"/>
        </right>
        <top style="double">
          <color rgb="FF92D050"/>
        </top>
        <bottom style="double">
          <color rgb="FF92D050"/>
        </bottom>
        <vertical style="double">
          <color rgb="FF92D050"/>
        </vertical>
        <horizontal style="double">
          <color rgb="FF92D050"/>
        </horizontal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left style="double">
          <color rgb="FF92D050"/>
        </left>
        <right style="double">
          <color rgb="FF92D050"/>
        </right>
        <top style="double">
          <color rgb="FF92D050"/>
        </top>
        <bottom style="double">
          <color rgb="FF92D050"/>
        </bottom>
        <vertical style="double">
          <color rgb="FF92D050"/>
        </vertical>
        <horizontal style="double">
          <color rgb="FF92D050"/>
        </horizontal>
      </border>
    </dxf>
    <dxf>
      <fill>
        <patternFill>
          <bgColor rgb="FFFFD08B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 style="double">
          <color rgb="FF00B050"/>
        </vertical>
        <horizontal style="double">
          <color rgb="FF00B050"/>
        </horizontal>
      </border>
    </dxf>
  </dxfs>
  <tableStyles count="1" defaultTableStyle="TableStyleMedium2" defaultPivotStyle="PivotStyleLight16">
    <tableStyle name="LUCHA" table="0" count="4">
      <tableStyleElement type="wholeTable" dxfId="242"/>
      <tableStyleElement type="headerRow" dxfId="241"/>
      <tableStyleElement type="totalRow" dxfId="240"/>
      <tableStyleElement type="firstColumn" dxfId="239"/>
    </tableStyle>
  </tableStyles>
  <colors>
    <mruColors>
      <color rgb="FF33CC33"/>
      <color rgb="FFFFD08B"/>
      <color rgb="FF009900"/>
      <color rgb="FFFFF6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[INFORME AGENCIA VIRTUAL COAC LUCHA CAMPESINA MAR 2026.xlsx]RESUMEN GLOBAL!TablaDinámica10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TRX MOTIVO DE LA LLAMADA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7.6811843832021012E-2"/>
              <c:y val="5.4180640239387866E-2"/>
            </c:manualLayout>
          </c:layout>
          <c:tx>
            <c:rich>
              <a:bodyPr/>
              <a:lstStyle/>
              <a:p>
                <a:fld id="{EDA91801-6C67-4F56-BD1E-2911CDAF7CF6}" type="CATEGORYNAME">
                  <a:rPr lang="en-US"/>
                  <a:pPr/>
                  <a:t>[NOMBRE DE CATEGORÍA]</a:t>
                </a:fld>
                <a:endParaRPr lang="en-US"/>
              </a:p>
              <a:p>
                <a:r>
                  <a:rPr lang="en-US"/>
                  <a:t> </a:t>
                </a:r>
                <a:fld id="{76A0A070-0467-4C3B-AB91-5B46C11F1E8D}" type="VALUE">
                  <a:rPr lang="en-US"/>
                  <a:pPr/>
                  <a:t>[VALOR]</a:t>
                </a:fld>
                <a:endParaRPr lang="en-US"/>
              </a:p>
              <a:p>
                <a:r>
                  <a:rPr lang="en-US"/>
                  <a:t> </a:t>
                </a:r>
                <a:fld id="{8578DFFB-4301-45AC-A165-DD373D88E159}" type="PERCENTAGE">
                  <a:rPr lang="en-US"/>
                  <a:pPr/>
                  <a:t>[PORCENTAJE]</a:t>
                </a:fld>
                <a:endParaRPr lang="en-US"/>
              </a:p>
            </c:rich>
          </c:tx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dLbl>
          <c:idx val="0"/>
          <c:layout>
            <c:manualLayout>
              <c:x val="3.5000820209973735E-2"/>
              <c:y val="-4.0003411703802581E-2"/>
            </c:manualLayout>
          </c:layout>
          <c:tx>
            <c:rich>
              <a:bodyPr/>
              <a:lstStyle/>
              <a:p>
                <a:fld id="{CDB60E27-0C0C-460B-BA94-DD0165C004A3}" type="CATEGORYNAME">
                  <a:rPr lang="en-US"/>
                  <a:pPr/>
                  <a:t>[NOMBRE DE CATEGORÍA]</a:t>
                </a:fld>
                <a:endParaRPr lang="en-US"/>
              </a:p>
              <a:p>
                <a:r>
                  <a:rPr lang="en-US"/>
                  <a:t> </a:t>
                </a:r>
                <a:fld id="{E7DA8429-DBBA-4E1D-BAF7-28AE31D3967D}" type="VALUE">
                  <a:rPr lang="en-US"/>
                  <a:pPr/>
                  <a:t>[VALOR]</a:t>
                </a:fld>
                <a:endParaRPr lang="en-US"/>
              </a:p>
              <a:p>
                <a:r>
                  <a:rPr lang="en-US"/>
                  <a:t> </a:t>
                </a:r>
                <a:fld id="{8FB7C1EF-7421-4403-BDB4-B2C4585DCA86}" type="PERCENTAGE">
                  <a:rPr lang="en-US"/>
                  <a:pPr/>
                  <a:t>[PORCENTAJE]</a:t>
                </a:fld>
                <a:endParaRPr lang="en-US"/>
              </a:p>
            </c:rich>
          </c:tx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dLbl>
          <c:idx val="0"/>
          <c:layout>
            <c:manualLayout>
              <c:x val="6.4754347112860822E-2"/>
              <c:y val="0.11517254573519256"/>
            </c:manualLayout>
          </c:layout>
          <c:tx>
            <c:rich>
              <a:bodyPr/>
              <a:lstStyle/>
              <a:p>
                <a:r>
                  <a:rPr lang="en-US"/>
                  <a:t> </a:t>
                </a:r>
                <a:fld id="{98185FB4-1CCF-47F3-8FB4-C3DC6DF5F0D2}" type="CATEGORYNAME">
                  <a:rPr lang="en-US"/>
                  <a:pPr/>
                  <a:t>[NOMBRE DE CATEGORÍA]</a:t>
                </a:fld>
                <a:r>
                  <a:rPr lang="en-US"/>
                  <a:t> </a:t>
                </a:r>
              </a:p>
              <a:p>
                <a:fld id="{AAA5B25A-65CD-4302-90E9-CC7145D212C2}" type="VALUE">
                  <a:rPr lang="en-US"/>
                  <a:pPr/>
                  <a:t>[VALOR]</a:t>
                </a:fld>
                <a:endParaRPr lang="en-US"/>
              </a:p>
              <a:p>
                <a:r>
                  <a:rPr lang="en-US"/>
                  <a:t> </a:t>
                </a:r>
                <a:fld id="{142C4753-B679-4FAE-873B-EE21B211BC74}" type="PERCENTAGE">
                  <a:rPr lang="en-US"/>
                  <a:pPr/>
                  <a:t>[PORCENTAJE]</a:t>
                </a:fld>
                <a:endParaRPr lang="en-US"/>
              </a:p>
            </c:rich>
          </c:tx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8.1041666666666651E-2"/>
                  <c:h val="0.17156575881386432"/>
                </c:manualLayout>
              </c15:layout>
              <c15:dlblFieldTable/>
              <c15:showDataLabelsRange val="0"/>
            </c:ext>
          </c:extLst>
        </c:dLbl>
      </c:pivotFmt>
      <c:pivotFmt>
        <c:idx val="5"/>
        <c:dLbl>
          <c:idx val="0"/>
          <c:layout>
            <c:manualLayout>
              <c:x val="-0.19583623894520516"/>
              <c:y val="-0.18376941146924788"/>
            </c:manualLayout>
          </c:layout>
          <c:tx>
            <c:rich>
              <a:bodyPr/>
              <a:lstStyle/>
              <a:p>
                <a:fld id="{27B65F87-4A1E-4D3B-B650-98349AA98D5A}" type="CATEGORYNAME">
                  <a:rPr lang="en-US"/>
                  <a:pPr/>
                  <a:t>[NOMBRE DE CATEGORÍA]</a:t>
                </a:fld>
                <a:endParaRPr lang="en-US"/>
              </a:p>
              <a:p>
                <a:r>
                  <a:rPr lang="en-US"/>
                  <a:t> </a:t>
                </a:r>
                <a:fld id="{E0457DD6-E84C-427B-BBE6-CFBE3A2B8CCD}" type="VALUE">
                  <a:rPr lang="en-US"/>
                  <a:pPr/>
                  <a:t>[VALOR]</a:t>
                </a:fld>
                <a:endParaRPr lang="en-US"/>
              </a:p>
              <a:p>
                <a:r>
                  <a:rPr lang="en-US"/>
                  <a:t> </a:t>
                </a:r>
                <a:fld id="{E5BECA9F-B74A-408A-A20C-6412C2306B2E}" type="PERCENTAGE">
                  <a:rPr lang="en-US"/>
                  <a:pPr/>
                  <a:t>[PORCENTAJE]</a:t>
                </a:fld>
                <a:endParaRPr lang="en-US"/>
              </a:p>
            </c:rich>
          </c:tx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shade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8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6">
              <a:tint val="8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1"/>
        <c:spPr>
          <a:solidFill>
            <a:schemeClr val="accent6">
              <a:tint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</c:pivotFmt>
      <c:pivotFmt>
        <c:idx val="114"/>
        <c:spPr>
          <a:solidFill>
            <a:schemeClr val="accent6">
              <a:shade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5"/>
        <c:spPr>
          <a:solidFill>
            <a:schemeClr val="accent6">
              <a:shade val="8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6"/>
        <c:spPr>
          <a:solidFill>
            <a:schemeClr val="accent6">
              <a:tint val="8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7"/>
        <c:spPr>
          <a:solidFill>
            <a:schemeClr val="accent6">
              <a:tint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8"/>
        <c:spPr>
          <a:solidFill>
            <a:schemeClr val="accent6">
              <a:shade val="5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9"/>
        <c:spPr>
          <a:solidFill>
            <a:schemeClr val="accent6">
              <a:shade val="7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6">
              <a:shade val="9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6">
              <a:shade val="5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2"/>
        <c:spPr>
          <a:solidFill>
            <a:schemeClr val="accent6">
              <a:shade val="7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3"/>
        <c:spPr>
          <a:solidFill>
            <a:schemeClr val="accent6">
              <a:shade val="9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4"/>
        <c:spPr>
          <a:solidFill>
            <a:schemeClr val="accent6">
              <a:tint val="5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5"/>
        <c:spPr>
          <a:solidFill>
            <a:schemeClr val="accent6">
              <a:tint val="5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6"/>
        <c:spPr>
          <a:solidFill>
            <a:schemeClr val="accent6">
              <a:tint val="5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7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8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9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1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2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3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4"/>
        <c:spPr>
          <a:solidFill>
            <a:schemeClr val="accent6">
              <a:tint val="58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xForSave val="1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'RESUMEN GLOBAL'!$D$12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8B4-48DA-9EA6-A9FB64A8090D}"/>
              </c:ext>
            </c:extLst>
          </c:dPt>
          <c:dPt>
            <c:idx val="1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8B4-48DA-9EA6-A9FB64A8090D}"/>
              </c:ext>
            </c:extLst>
          </c:dPt>
          <c:dPt>
            <c:idx val="2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8B4-48DA-9EA6-A9FB64A8090D}"/>
              </c:ext>
            </c:extLst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48B4-48DA-9EA6-A9FB64A8090D}"/>
              </c:ext>
            </c:extLst>
          </c:dPt>
          <c:dPt>
            <c:idx val="4"/>
            <c:bubble3D val="0"/>
            <c:spPr>
              <a:solidFill>
                <a:schemeClr val="accent6">
                  <a:tint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621E-48A0-91CB-40B33CF84A2A}"/>
              </c:ext>
            </c:extLst>
          </c:dPt>
          <c:dPt>
            <c:idx val="5"/>
            <c:bubble3D val="0"/>
            <c:spPr>
              <a:solidFill>
                <a:schemeClr val="accent6">
                  <a:tint val="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621E-48A0-91CB-40B33CF84A2A}"/>
              </c:ext>
            </c:extLst>
          </c:dPt>
          <c:dPt>
            <c:idx val="6"/>
            <c:bubble3D val="0"/>
            <c:spPr>
              <a:solidFill>
                <a:schemeClr val="accent6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6DE-41CD-B2A1-BE62C6726A21}"/>
              </c:ext>
            </c:extLst>
          </c:dPt>
          <c:dPt>
            <c:idx val="7"/>
            <c:bubble3D val="0"/>
            <c:spPr>
              <a:solidFill>
                <a:schemeClr val="accent6">
                  <a:tint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349-45BE-839D-4EA73303CDB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8B4-48DA-9EA6-A9FB64A8090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8B4-48DA-9EA6-A9FB64A8090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8B4-48DA-9EA6-A9FB64A8090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8B4-48DA-9EA6-A9FB64A809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'RESUMEN GLOBAL'!$C$13:$C$17</c:f>
              <c:strCache>
                <c:ptCount val="4"/>
                <c:pt idx="0">
                  <c:v>CALIDAD DE LLAMADA</c:v>
                </c:pt>
                <c:pt idx="1">
                  <c:v>INFORMACIÓN GENERAL</c:v>
                </c:pt>
                <c:pt idx="2">
                  <c:v>MONITOREO DEL SERVICIO</c:v>
                </c:pt>
                <c:pt idx="3">
                  <c:v>QUEJAS</c:v>
                </c:pt>
              </c:strCache>
            </c:strRef>
          </c:cat>
          <c:val>
            <c:numRef>
              <c:f>'RESUMEN GLOBAL'!$D$13:$D$17</c:f>
              <c:numCache>
                <c:formatCode>General</c:formatCode>
                <c:ptCount val="4"/>
                <c:pt idx="0">
                  <c:v>15</c:v>
                </c:pt>
                <c:pt idx="1">
                  <c:v>28</c:v>
                </c:pt>
                <c:pt idx="2">
                  <c:v>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79C-4495-991A-12D1130CAC1D}"/>
            </c:ext>
          </c:extLst>
        </c:ser>
        <c:ser>
          <c:idx val="1"/>
          <c:order val="1"/>
          <c:tx>
            <c:strRef>
              <c:f>'RESUMEN GLOBAL'!$E$12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48B4-48DA-9EA6-A9FB64A8090D}"/>
              </c:ext>
            </c:extLst>
          </c:dPt>
          <c:dPt>
            <c:idx val="1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48B4-48DA-9EA6-A9FB64A8090D}"/>
              </c:ext>
            </c:extLst>
          </c:dPt>
          <c:dPt>
            <c:idx val="2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48B4-48DA-9EA6-A9FB64A8090D}"/>
              </c:ext>
            </c:extLst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48B4-48DA-9EA6-A9FB64A8090D}"/>
              </c:ext>
            </c:extLst>
          </c:dPt>
          <c:dPt>
            <c:idx val="4"/>
            <c:bubble3D val="0"/>
            <c:spPr>
              <a:solidFill>
                <a:schemeClr val="accent6">
                  <a:tint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621E-48A0-91CB-40B33CF84A2A}"/>
              </c:ext>
            </c:extLst>
          </c:dPt>
          <c:dPt>
            <c:idx val="5"/>
            <c:bubble3D val="0"/>
            <c:spPr>
              <a:solidFill>
                <a:schemeClr val="accent6">
                  <a:tint val="2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621E-48A0-91CB-40B33CF84A2A}"/>
              </c:ext>
            </c:extLst>
          </c:dPt>
          <c:dPt>
            <c:idx val="6"/>
            <c:bubble3D val="0"/>
            <c:spPr>
              <a:solidFill>
                <a:schemeClr val="accent6">
                  <a:tint val="7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6DE-41CD-B2A1-BE62C6726A21}"/>
              </c:ext>
            </c:extLst>
          </c:dPt>
          <c:dPt>
            <c:idx val="7"/>
            <c:bubble3D val="0"/>
            <c:spPr>
              <a:solidFill>
                <a:schemeClr val="accent6">
                  <a:tint val="4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349-45BE-839D-4EA73303CDBD}"/>
              </c:ext>
            </c:extLst>
          </c:dPt>
          <c:dLbls>
            <c:delete val="1"/>
          </c:dLbls>
          <c:cat>
            <c:strRef>
              <c:f>'RESUMEN GLOBAL'!$C$13:$C$17</c:f>
              <c:strCache>
                <c:ptCount val="4"/>
                <c:pt idx="0">
                  <c:v>CALIDAD DE LLAMADA</c:v>
                </c:pt>
                <c:pt idx="1">
                  <c:v>INFORMACIÓN GENERAL</c:v>
                </c:pt>
                <c:pt idx="2">
                  <c:v>MONITOREO DEL SERVICIO</c:v>
                </c:pt>
                <c:pt idx="3">
                  <c:v>QUEJAS</c:v>
                </c:pt>
              </c:strCache>
            </c:strRef>
          </c:cat>
          <c:val>
            <c:numRef>
              <c:f>'RESUMEN GLOBAL'!$E$13:$E$17</c:f>
              <c:numCache>
                <c:formatCode>0.00%</c:formatCode>
                <c:ptCount val="4"/>
                <c:pt idx="0">
                  <c:v>0.28301886792452829</c:v>
                </c:pt>
                <c:pt idx="1">
                  <c:v>0.52830188679245282</c:v>
                </c:pt>
                <c:pt idx="2">
                  <c:v>0.16981132075471697</c:v>
                </c:pt>
                <c:pt idx="3">
                  <c:v>1.8867924528301886E-2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79C-4495-991A-12D1130CAC1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[INFORME AGENCIA VIRTUAL COAC LUCHA CAMPESINA MAR 2026.xlsx]RESUMEN GLOBAL!TablaDinámica11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C" b="1">
                <a:solidFill>
                  <a:schemeClr val="tx1"/>
                </a:solidFill>
              </a:rPr>
              <a:t>Trx Sub-motivo de la llamada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'RESUMEN GLOBAL'!$D$33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 w="9525" cap="flat" cmpd="sng" algn="ctr">
              <a:solidFill>
                <a:schemeClr val="accent3">
                  <a:shade val="76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'RESUMEN GLOBAL'!$C$34:$C$48</c:f>
              <c:strCache>
                <c:ptCount val="14"/>
                <c:pt idx="0">
                  <c:v>LLAMADA CORTADA</c:v>
                </c:pt>
                <c:pt idx="1">
                  <c:v>LLAMADA DE PRUEBA</c:v>
                </c:pt>
                <c:pt idx="2">
                  <c:v>INFORMACION DE TRANSFERENCIAS</c:v>
                </c:pt>
                <c:pt idx="3">
                  <c:v>CUENTAS DE AHORRO PROGRAMADO</c:v>
                </c:pt>
                <c:pt idx="4">
                  <c:v>INFORMACIÓN DE CRÉDITOS</c:v>
                </c:pt>
                <c:pt idx="5">
                  <c:v>INFORMACIÓN APP</c:v>
                </c:pt>
                <c:pt idx="6">
                  <c:v>INFORMACIÓN DE SERVICIOS</c:v>
                </c:pt>
                <c:pt idx="7">
                  <c:v>CONTACTO PARA AGENCIAS</c:v>
                </c:pt>
                <c:pt idx="8">
                  <c:v>CONTACTO PARA PROPUESTAS</c:v>
                </c:pt>
                <c:pt idx="9">
                  <c:v>CORREO ELECTRÓNICO DE FUNCIONARIOS</c:v>
                </c:pt>
                <c:pt idx="10">
                  <c:v>EXTENSIONES DE FUNCIONARIOS</c:v>
                </c:pt>
                <c:pt idx="11">
                  <c:v>INFORMACION DE BANCA VIRTUAL/APP</c:v>
                </c:pt>
                <c:pt idx="12">
                  <c:v>CUENTAS DE AHORRO</c:v>
                </c:pt>
                <c:pt idx="13">
                  <c:v>POR EL CREDITO</c:v>
                </c:pt>
              </c:strCache>
            </c:strRef>
          </c:cat>
          <c:val>
            <c:numRef>
              <c:f>'RESUMEN GLOBAL'!$D$34:$D$48</c:f>
              <c:numCache>
                <c:formatCode>General</c:formatCode>
                <c:ptCount val="14"/>
                <c:pt idx="0">
                  <c:v>5</c:v>
                </c:pt>
                <c:pt idx="1">
                  <c:v>19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7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8-4549-AF3B-F14EA9D3AE65}"/>
            </c:ext>
          </c:extLst>
        </c:ser>
        <c:ser>
          <c:idx val="1"/>
          <c:order val="1"/>
          <c:tx>
            <c:strRef>
              <c:f>'RESUMEN GLOBAL'!$E$33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FFC000"/>
            </a:solidFill>
            <a:ln w="9525" cap="flat" cmpd="sng" algn="ctr">
              <a:solidFill>
                <a:schemeClr val="accent3">
                  <a:tint val="77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'RESUMEN GLOBAL'!$C$34:$C$48</c:f>
              <c:strCache>
                <c:ptCount val="14"/>
                <c:pt idx="0">
                  <c:v>LLAMADA CORTADA</c:v>
                </c:pt>
                <c:pt idx="1">
                  <c:v>LLAMADA DE PRUEBA</c:v>
                </c:pt>
                <c:pt idx="2">
                  <c:v>INFORMACION DE TRANSFERENCIAS</c:v>
                </c:pt>
                <c:pt idx="3">
                  <c:v>CUENTAS DE AHORRO PROGRAMADO</c:v>
                </c:pt>
                <c:pt idx="4">
                  <c:v>INFORMACIÓN DE CRÉDITOS</c:v>
                </c:pt>
                <c:pt idx="5">
                  <c:v>INFORMACIÓN APP</c:v>
                </c:pt>
                <c:pt idx="6">
                  <c:v>INFORMACIÓN DE SERVICIOS</c:v>
                </c:pt>
                <c:pt idx="7">
                  <c:v>CONTACTO PARA AGENCIAS</c:v>
                </c:pt>
                <c:pt idx="8">
                  <c:v>CONTACTO PARA PROPUESTAS</c:v>
                </c:pt>
                <c:pt idx="9">
                  <c:v>CORREO ELECTRÓNICO DE FUNCIONARIOS</c:v>
                </c:pt>
                <c:pt idx="10">
                  <c:v>EXTENSIONES DE FUNCIONARIOS</c:v>
                </c:pt>
                <c:pt idx="11">
                  <c:v>INFORMACION DE BANCA VIRTUAL/APP</c:v>
                </c:pt>
                <c:pt idx="12">
                  <c:v>CUENTAS DE AHORRO</c:v>
                </c:pt>
                <c:pt idx="13">
                  <c:v>POR EL CREDITO</c:v>
                </c:pt>
              </c:strCache>
            </c:strRef>
          </c:cat>
          <c:val>
            <c:numRef>
              <c:f>'RESUMEN GLOBAL'!$E$34:$E$48</c:f>
              <c:numCache>
                <c:formatCode>0.00%</c:formatCode>
                <c:ptCount val="14"/>
                <c:pt idx="0">
                  <c:v>9.4339622641509441E-2</c:v>
                </c:pt>
                <c:pt idx="1">
                  <c:v>0.35849056603773582</c:v>
                </c:pt>
                <c:pt idx="2">
                  <c:v>1.8867924528301886E-2</c:v>
                </c:pt>
                <c:pt idx="3">
                  <c:v>1.8867924528301886E-2</c:v>
                </c:pt>
                <c:pt idx="4">
                  <c:v>5.6603773584905662E-2</c:v>
                </c:pt>
                <c:pt idx="5">
                  <c:v>3.7735849056603772E-2</c:v>
                </c:pt>
                <c:pt idx="6">
                  <c:v>9.4339622641509441E-2</c:v>
                </c:pt>
                <c:pt idx="7">
                  <c:v>0.13207547169811321</c:v>
                </c:pt>
                <c:pt idx="8">
                  <c:v>1.8867924528301886E-2</c:v>
                </c:pt>
                <c:pt idx="9">
                  <c:v>1.8867924528301886E-2</c:v>
                </c:pt>
                <c:pt idx="10">
                  <c:v>3.7735849056603772E-2</c:v>
                </c:pt>
                <c:pt idx="11">
                  <c:v>1.8867924528301886E-2</c:v>
                </c:pt>
                <c:pt idx="12">
                  <c:v>7.5471698113207544E-2</c:v>
                </c:pt>
                <c:pt idx="13">
                  <c:v>1.8867924528301886E-2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98-4549-AF3B-F14EA9D3AE6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0020192"/>
        <c:axId val="350013632"/>
      </c:barChart>
      <c:catAx>
        <c:axId val="350020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50013632"/>
        <c:crosses val="autoZero"/>
        <c:auto val="1"/>
        <c:lblAlgn val="ctr"/>
        <c:lblOffset val="100"/>
        <c:noMultiLvlLbl val="0"/>
      </c:catAx>
      <c:valAx>
        <c:axId val="35001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C00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5002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[INFORME AGENCIA VIRTUAL COAC LUCHA CAMPESINA MAR 2026.xlsx]LLAMADAS DIARIAS!TablaDinámica8</c:name>
    <c:fmtId val="2"/>
  </c:pivotSource>
  <c:chart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</c:marker>
      </c:pivotFmt>
      <c:pivotFmt>
        <c:idx val="3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</c:marke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'LLAMADAS DIARIAS'!$B$7</c:f>
              <c:strCache>
                <c:ptCount val="1"/>
                <c:pt idx="0">
                  <c:v>Número de Llamadas entrantes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'LLAMADAS DIARIAS'!$A$8:$A$39</c:f>
              <c:strCache>
                <c:ptCount val="31"/>
                <c:pt idx="0">
                  <c:v>2026-03-01</c:v>
                </c:pt>
                <c:pt idx="1">
                  <c:v>2026-03-02</c:v>
                </c:pt>
                <c:pt idx="2">
                  <c:v>2026-03-03</c:v>
                </c:pt>
                <c:pt idx="3">
                  <c:v>2026-03-04</c:v>
                </c:pt>
                <c:pt idx="4">
                  <c:v>2026-03-05</c:v>
                </c:pt>
                <c:pt idx="5">
                  <c:v>2026-03-06</c:v>
                </c:pt>
                <c:pt idx="6">
                  <c:v>2026-03-07</c:v>
                </c:pt>
                <c:pt idx="7">
                  <c:v>2026-03-08</c:v>
                </c:pt>
                <c:pt idx="8">
                  <c:v>2026-03-09</c:v>
                </c:pt>
                <c:pt idx="9">
                  <c:v>2026-03-10</c:v>
                </c:pt>
                <c:pt idx="10">
                  <c:v>2026-03-11</c:v>
                </c:pt>
                <c:pt idx="11">
                  <c:v>2026-03-12</c:v>
                </c:pt>
                <c:pt idx="12">
                  <c:v>2026-03-13</c:v>
                </c:pt>
                <c:pt idx="13">
                  <c:v>2026-03-14</c:v>
                </c:pt>
                <c:pt idx="14">
                  <c:v>2026-03-15</c:v>
                </c:pt>
                <c:pt idx="15">
                  <c:v>2026-03-16</c:v>
                </c:pt>
                <c:pt idx="16">
                  <c:v>2026-03-17</c:v>
                </c:pt>
                <c:pt idx="17">
                  <c:v>2026-03-18</c:v>
                </c:pt>
                <c:pt idx="18">
                  <c:v>2026-03-19</c:v>
                </c:pt>
                <c:pt idx="19">
                  <c:v>2026-03-20</c:v>
                </c:pt>
                <c:pt idx="20">
                  <c:v>2026-03-21</c:v>
                </c:pt>
                <c:pt idx="21">
                  <c:v>2026-03-22</c:v>
                </c:pt>
                <c:pt idx="22">
                  <c:v>2026-03-23</c:v>
                </c:pt>
                <c:pt idx="23">
                  <c:v>2026-03-24</c:v>
                </c:pt>
                <c:pt idx="24">
                  <c:v>2026-03-25</c:v>
                </c:pt>
                <c:pt idx="25">
                  <c:v>2026-03-26</c:v>
                </c:pt>
                <c:pt idx="26">
                  <c:v>2026-03-27</c:v>
                </c:pt>
                <c:pt idx="27">
                  <c:v>2026-03-28</c:v>
                </c:pt>
                <c:pt idx="28">
                  <c:v>2026-03-29</c:v>
                </c:pt>
                <c:pt idx="29">
                  <c:v>2026-03-30</c:v>
                </c:pt>
                <c:pt idx="30">
                  <c:v>2026-03-31</c:v>
                </c:pt>
              </c:strCache>
            </c:strRef>
          </c:cat>
          <c:val>
            <c:numRef>
              <c:f>'LLAMADAS DIARIAS'!$B$8:$B$39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2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  <c:pt idx="29">
                  <c:v>7</c:v>
                </c:pt>
                <c:pt idx="3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4-45BE-977D-C58159E306B6}"/>
            </c:ext>
          </c:extLst>
        </c:ser>
        <c:ser>
          <c:idx val="1"/>
          <c:order val="1"/>
          <c:tx>
            <c:strRef>
              <c:f>'LLAMADAS DIARIAS'!$C$7</c:f>
              <c:strCache>
                <c:ptCount val="1"/>
                <c:pt idx="0">
                  <c:v>Número de Llamadas Abandonadas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'LLAMADAS DIARIAS'!$A$8:$A$39</c:f>
              <c:strCache>
                <c:ptCount val="31"/>
                <c:pt idx="0">
                  <c:v>2026-03-01</c:v>
                </c:pt>
                <c:pt idx="1">
                  <c:v>2026-03-02</c:v>
                </c:pt>
                <c:pt idx="2">
                  <c:v>2026-03-03</c:v>
                </c:pt>
                <c:pt idx="3">
                  <c:v>2026-03-04</c:v>
                </c:pt>
                <c:pt idx="4">
                  <c:v>2026-03-05</c:v>
                </c:pt>
                <c:pt idx="5">
                  <c:v>2026-03-06</c:v>
                </c:pt>
                <c:pt idx="6">
                  <c:v>2026-03-07</c:v>
                </c:pt>
                <c:pt idx="7">
                  <c:v>2026-03-08</c:v>
                </c:pt>
                <c:pt idx="8">
                  <c:v>2026-03-09</c:v>
                </c:pt>
                <c:pt idx="9">
                  <c:v>2026-03-10</c:v>
                </c:pt>
                <c:pt idx="10">
                  <c:v>2026-03-11</c:v>
                </c:pt>
                <c:pt idx="11">
                  <c:v>2026-03-12</c:v>
                </c:pt>
                <c:pt idx="12">
                  <c:v>2026-03-13</c:v>
                </c:pt>
                <c:pt idx="13">
                  <c:v>2026-03-14</c:v>
                </c:pt>
                <c:pt idx="14">
                  <c:v>2026-03-15</c:v>
                </c:pt>
                <c:pt idx="15">
                  <c:v>2026-03-16</c:v>
                </c:pt>
                <c:pt idx="16">
                  <c:v>2026-03-17</c:v>
                </c:pt>
                <c:pt idx="17">
                  <c:v>2026-03-18</c:v>
                </c:pt>
                <c:pt idx="18">
                  <c:v>2026-03-19</c:v>
                </c:pt>
                <c:pt idx="19">
                  <c:v>2026-03-20</c:v>
                </c:pt>
                <c:pt idx="20">
                  <c:v>2026-03-21</c:v>
                </c:pt>
                <c:pt idx="21">
                  <c:v>2026-03-22</c:v>
                </c:pt>
                <c:pt idx="22">
                  <c:v>2026-03-23</c:v>
                </c:pt>
                <c:pt idx="23">
                  <c:v>2026-03-24</c:v>
                </c:pt>
                <c:pt idx="24">
                  <c:v>2026-03-25</c:v>
                </c:pt>
                <c:pt idx="25">
                  <c:v>2026-03-26</c:v>
                </c:pt>
                <c:pt idx="26">
                  <c:v>2026-03-27</c:v>
                </c:pt>
                <c:pt idx="27">
                  <c:v>2026-03-28</c:v>
                </c:pt>
                <c:pt idx="28">
                  <c:v>2026-03-29</c:v>
                </c:pt>
                <c:pt idx="29">
                  <c:v>2026-03-30</c:v>
                </c:pt>
                <c:pt idx="30">
                  <c:v>2026-03-31</c:v>
                </c:pt>
              </c:strCache>
            </c:strRef>
          </c:cat>
          <c:val>
            <c:numRef>
              <c:f>'LLAMADAS DIARIAS'!$C$8:$C$39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4-45BE-977D-C58159E306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404785704"/>
        <c:axId val="404779224"/>
      </c:barChart>
      <c:catAx>
        <c:axId val="404785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04779224"/>
        <c:crosses val="autoZero"/>
        <c:auto val="1"/>
        <c:lblAlgn val="ctr"/>
        <c:lblOffset val="100"/>
        <c:noMultiLvlLbl val="0"/>
      </c:catAx>
      <c:valAx>
        <c:axId val="40477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04785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png"/><Relationship Id="rId1" Type="http://schemas.openxmlformats.org/officeDocument/2006/relationships/hyperlink" Target="#PORTAD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png"/><Relationship Id="rId1" Type="http://schemas.openxmlformats.org/officeDocument/2006/relationships/hyperlink" Target="#'REPORTE GERENCIAL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ORTADA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jpg"/><Relationship Id="rId4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PORTADA!A1"/><Relationship Id="rId1" Type="http://schemas.openxmlformats.org/officeDocument/2006/relationships/image" Target="../media/image3.png"/><Relationship Id="rId5" Type="http://schemas.openxmlformats.org/officeDocument/2006/relationships/chart" Target="../charts/chart3.xml"/><Relationship Id="rId4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1</xdr:row>
      <xdr:rowOff>161926</xdr:rowOff>
    </xdr:from>
    <xdr:to>
      <xdr:col>2</xdr:col>
      <xdr:colOff>257175</xdr:colOff>
      <xdr:row>6</xdr:row>
      <xdr:rowOff>19051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352426"/>
          <a:ext cx="1028700" cy="876300"/>
        </a:xfrm>
        <a:prstGeom prst="rect">
          <a:avLst/>
        </a:prstGeom>
      </xdr:spPr>
    </xdr:pic>
    <xdr:clientData/>
  </xdr:twoCellAnchor>
  <xdr:twoCellAnchor editAs="oneCell">
    <xdr:from>
      <xdr:col>10</xdr:col>
      <xdr:colOff>657225</xdr:colOff>
      <xdr:row>0</xdr:row>
      <xdr:rowOff>104776</xdr:rowOff>
    </xdr:from>
    <xdr:to>
      <xdr:col>12</xdr:col>
      <xdr:colOff>38100</xdr:colOff>
      <xdr:row>6</xdr:row>
      <xdr:rowOff>155097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18F6565-0D76-B506-A67C-C1335B0FE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0100" y="104776"/>
          <a:ext cx="904875" cy="1259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613833</xdr:colOff>
      <xdr:row>4</xdr:row>
      <xdr:rowOff>158750</xdr:rowOff>
    </xdr:from>
    <xdr:to>
      <xdr:col>10</xdr:col>
      <xdr:colOff>1047749</xdr:colOff>
      <xdr:row>6</xdr:row>
      <xdr:rowOff>148167</xdr:rowOff>
    </xdr:to>
    <xdr:sp macro="" textlink="">
      <xdr:nvSpPr>
        <xdr:cNvPr id="5" name="Flecha curvada hacia la izquierda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9091083" y="751417"/>
          <a:ext cx="433916" cy="391583"/>
        </a:xfrm>
        <a:prstGeom prst="curvedLef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582084</xdr:colOff>
      <xdr:row>1</xdr:row>
      <xdr:rowOff>188381</xdr:rowOff>
    </xdr:from>
    <xdr:to>
      <xdr:col>2</xdr:col>
      <xdr:colOff>186886</xdr:colOff>
      <xdr:row>8</xdr:row>
      <xdr:rowOff>191283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784" y="378881"/>
          <a:ext cx="1719352" cy="144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273050</xdr:colOff>
      <xdr:row>2</xdr:row>
      <xdr:rowOff>52916</xdr:rowOff>
    </xdr:from>
    <xdr:to>
      <xdr:col>12</xdr:col>
      <xdr:colOff>586171</xdr:colOff>
      <xdr:row>9</xdr:row>
      <xdr:rowOff>65316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47443E-1B62-4175-8957-F145DED05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5500" y="452966"/>
          <a:ext cx="1017971" cy="144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1618335</xdr:colOff>
      <xdr:row>8</xdr:row>
      <xdr:rowOff>23202</xdr:rowOff>
    </xdr:from>
    <xdr:to>
      <xdr:col>10</xdr:col>
      <xdr:colOff>324217</xdr:colOff>
      <xdr:row>11</xdr:row>
      <xdr:rowOff>23201</xdr:rowOff>
    </xdr:to>
    <xdr:sp macro="" textlink="">
      <xdr:nvSpPr>
        <xdr:cNvPr id="4" name="Flecha: curvada hacia la izquierd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2633143" y="1415317"/>
          <a:ext cx="464343" cy="512884"/>
        </a:xfrm>
        <a:prstGeom prst="curvedLeft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5</xdr:col>
      <xdr:colOff>994157</xdr:colOff>
      <xdr:row>1</xdr:row>
      <xdr:rowOff>124834</xdr:rowOff>
    </xdr:from>
    <xdr:to>
      <xdr:col>7</xdr:col>
      <xdr:colOff>319119</xdr:colOff>
      <xdr:row>9</xdr:row>
      <xdr:rowOff>148565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4542" y="295796"/>
          <a:ext cx="1990915" cy="1505165"/>
        </a:xfrm>
        <a:prstGeom prst="rect">
          <a:avLst/>
        </a:prstGeom>
      </xdr:spPr>
    </xdr:pic>
    <xdr:clientData/>
  </xdr:twoCellAnchor>
  <xdr:twoCellAnchor editAs="oneCell">
    <xdr:from>
      <xdr:col>13</xdr:col>
      <xdr:colOff>297517</xdr:colOff>
      <xdr:row>1</xdr:row>
      <xdr:rowOff>84759</xdr:rowOff>
    </xdr:from>
    <xdr:to>
      <xdr:col>13</xdr:col>
      <xdr:colOff>1391581</xdr:colOff>
      <xdr:row>10</xdr:row>
      <xdr:rowOff>2154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DC198A-BF7E-493D-BE06-BD8A8D560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0594" y="255721"/>
          <a:ext cx="1094064" cy="15621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85726</xdr:colOff>
      <xdr:row>0</xdr:row>
      <xdr:rowOff>104775</xdr:rowOff>
    </xdr:from>
    <xdr:to>
      <xdr:col>1</xdr:col>
      <xdr:colOff>85726</xdr:colOff>
      <xdr:row>4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024" t="15558" r="9832" b="57217"/>
        <a:stretch/>
      </xdr:blipFill>
      <xdr:spPr>
        <a:xfrm>
          <a:off x="85726" y="104775"/>
          <a:ext cx="1576728" cy="809625"/>
        </a:xfrm>
        <a:prstGeom prst="rect">
          <a:avLst/>
        </a:prstGeom>
      </xdr:spPr>
    </xdr:pic>
    <xdr:clientData/>
  </xdr:twoCellAnchor>
  <xdr:twoCellAnchor editAs="oneCell">
    <xdr:from>
      <xdr:col>0</xdr:col>
      <xdr:colOff>442912</xdr:colOff>
      <xdr:row>2</xdr:row>
      <xdr:rowOff>26195</xdr:rowOff>
    </xdr:from>
    <xdr:to>
      <xdr:col>2</xdr:col>
      <xdr:colOff>205249</xdr:colOff>
      <xdr:row>6</xdr:row>
      <xdr:rowOff>16670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2" y="407195"/>
          <a:ext cx="1286337" cy="847725"/>
        </a:xfrm>
        <a:prstGeom prst="rect">
          <a:avLst/>
        </a:prstGeom>
      </xdr:spPr>
    </xdr:pic>
    <xdr:clientData/>
  </xdr:twoCellAnchor>
  <xdr:twoCellAnchor editAs="oneCell">
    <xdr:from>
      <xdr:col>7</xdr:col>
      <xdr:colOff>69056</xdr:colOff>
      <xdr:row>0</xdr:row>
      <xdr:rowOff>154781</xdr:rowOff>
    </xdr:from>
    <xdr:to>
      <xdr:col>8</xdr:col>
      <xdr:colOff>404812</xdr:colOff>
      <xdr:row>6</xdr:row>
      <xdr:rowOff>176527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A1887AC-7713-42BA-95B9-FCD3106D2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0712" y="154781"/>
          <a:ext cx="907256" cy="12599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11205</xdr:colOff>
      <xdr:row>10</xdr:row>
      <xdr:rowOff>85912</xdr:rowOff>
    </xdr:from>
    <xdr:to>
      <xdr:col>15</xdr:col>
      <xdr:colOff>0</xdr:colOff>
      <xdr:row>29</xdr:row>
      <xdr:rowOff>18677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11207</xdr:colOff>
      <xdr:row>31</xdr:row>
      <xdr:rowOff>14286</xdr:rowOff>
    </xdr:from>
    <xdr:to>
      <xdr:col>14</xdr:col>
      <xdr:colOff>739588</xdr:colOff>
      <xdr:row>52</xdr:row>
      <xdr:rowOff>166688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418167</xdr:colOff>
      <xdr:row>5</xdr:row>
      <xdr:rowOff>34738</xdr:rowOff>
    </xdr:from>
    <xdr:to>
      <xdr:col>7</xdr:col>
      <xdr:colOff>745752</xdr:colOff>
      <xdr:row>7</xdr:row>
      <xdr:rowOff>93010</xdr:rowOff>
    </xdr:to>
    <xdr:sp macro="" textlink="">
      <xdr:nvSpPr>
        <xdr:cNvPr id="6" name="Flecha: curvada hacia la izquierda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6525373" y="953620"/>
          <a:ext cx="327585" cy="372037"/>
        </a:xfrm>
        <a:prstGeom prst="curvedLeft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673100</xdr:colOff>
      <xdr:row>1</xdr:row>
      <xdr:rowOff>93196</xdr:rowOff>
    </xdr:from>
    <xdr:to>
      <xdr:col>2</xdr:col>
      <xdr:colOff>833962</xdr:colOff>
      <xdr:row>9</xdr:row>
      <xdr:rowOff>85396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258296"/>
          <a:ext cx="1710262" cy="144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444499</xdr:colOff>
      <xdr:row>1</xdr:row>
      <xdr:rowOff>21431</xdr:rowOff>
    </xdr:from>
    <xdr:to>
      <xdr:col>15</xdr:col>
      <xdr:colOff>716645</xdr:colOff>
      <xdr:row>9</xdr:row>
      <xdr:rowOff>13632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4BF1A2A-F8EF-4B57-9230-C7E3F7B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79437" y="188119"/>
          <a:ext cx="1034146" cy="144476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59532</xdr:rowOff>
    </xdr:from>
    <xdr:to>
      <xdr:col>0</xdr:col>
      <xdr:colOff>0</xdr:colOff>
      <xdr:row>3</xdr:row>
      <xdr:rowOff>43863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024" t="15558" r="9832" b="57217"/>
        <a:stretch/>
      </xdr:blipFill>
      <xdr:spPr>
        <a:xfrm>
          <a:off x="83345" y="59532"/>
          <a:ext cx="1735930" cy="1106164"/>
        </a:xfrm>
        <a:prstGeom prst="rect">
          <a:avLst/>
        </a:prstGeom>
      </xdr:spPr>
    </xdr:pic>
    <xdr:clientData/>
  </xdr:twoCellAnchor>
  <xdr:twoCellAnchor>
    <xdr:from>
      <xdr:col>10</xdr:col>
      <xdr:colOff>539749</xdr:colOff>
      <xdr:row>3</xdr:row>
      <xdr:rowOff>127001</xdr:rowOff>
    </xdr:from>
    <xdr:to>
      <xdr:col>11</xdr:col>
      <xdr:colOff>211666</xdr:colOff>
      <xdr:row>6</xdr:row>
      <xdr:rowOff>0</xdr:rowOff>
    </xdr:to>
    <xdr:sp macro="" textlink="">
      <xdr:nvSpPr>
        <xdr:cNvPr id="5" name="Flecha: curvada hacia la izquierda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6635749" y="804334"/>
          <a:ext cx="433917" cy="455084"/>
        </a:xfrm>
        <a:prstGeom prst="curvedLef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316580</xdr:colOff>
      <xdr:row>1</xdr:row>
      <xdr:rowOff>62578</xdr:rowOff>
    </xdr:from>
    <xdr:to>
      <xdr:col>5</xdr:col>
      <xdr:colOff>585736</xdr:colOff>
      <xdr:row>5</xdr:row>
      <xdr:rowOff>190245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580" y="255839"/>
          <a:ext cx="1787634" cy="1452884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285750</xdr:colOff>
      <xdr:row>0</xdr:row>
      <xdr:rowOff>169334</xdr:rowOff>
    </xdr:from>
    <xdr:to>
      <xdr:col>17</xdr:col>
      <xdr:colOff>557896</xdr:colOff>
      <xdr:row>5</xdr:row>
      <xdr:rowOff>106501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8F09E2B-C884-43CA-B496-CDAF5EB93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0" y="169334"/>
          <a:ext cx="1034146" cy="1440000"/>
        </a:xfrm>
        <a:prstGeom prst="rect">
          <a:avLst/>
        </a:prstGeom>
      </xdr:spPr>
    </xdr:pic>
    <xdr:clientData/>
  </xdr:twoCellAnchor>
  <xdr:twoCellAnchor>
    <xdr:from>
      <xdr:col>3</xdr:col>
      <xdr:colOff>369794</xdr:colOff>
      <xdr:row>7</xdr:row>
      <xdr:rowOff>44200</xdr:rowOff>
    </xdr:from>
    <xdr:to>
      <xdr:col>18</xdr:col>
      <xdr:colOff>235324</xdr:colOff>
      <xdr:row>30</xdr:row>
      <xdr:rowOff>145675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FEA2E2-5ACB-C7F3-068D-01C58F80B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106680</xdr:rowOff>
    </xdr:from>
    <xdr:to>
      <xdr:col>19</xdr:col>
      <xdr:colOff>189337</xdr:colOff>
      <xdr:row>34</xdr:row>
      <xdr:rowOff>176192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3E17B5-04CF-93F8-2195-AD3F206CA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00"/>
          <a:ext cx="15246457" cy="555591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SCUELA_18" refreshedDate="46115.416778009261" createdVersion="6" refreshedVersion="6" minRefreshableVersion="3" recordCount="53">
  <cacheSource type="worksheet">
    <worksheetSource ref="A13:Q66" sheet="TRX"/>
  </cacheSource>
  <cacheFields count="17">
    <cacheField name="USUARIO/AGENTE" numFmtId="49">
      <sharedItems/>
    </cacheField>
    <cacheField name="FECHA DE LLAMADA" numFmtId="0">
      <sharedItems containsDate="1" containsMixedTypes="1" minDate="2026-03-01T00:00:00" maxDate="2026-03-25T00:00:00"/>
    </cacheField>
    <cacheField name="HORA DE LLAMADA" numFmtId="49">
      <sharedItems/>
    </cacheField>
    <cacheField name="HORA DE FIN" numFmtId="49">
      <sharedItems/>
    </cacheField>
    <cacheField name="TMO" numFmtId="49">
      <sharedItems/>
    </cacheField>
    <cacheField name="ESTADO DE LA LLAMADA" numFmtId="49">
      <sharedItems/>
    </cacheField>
    <cacheField name="NUMERO DE CEDULA" numFmtId="49">
      <sharedItems/>
    </cacheField>
    <cacheField name="APELLIDOS Y NOMBRES" numFmtId="49">
      <sharedItems/>
    </cacheField>
    <cacheField name="CIUDAD " numFmtId="49">
      <sharedItems/>
    </cacheField>
    <cacheField name="TELEFONO DE CONTACTO" numFmtId="49">
      <sharedItems containsBlank="1"/>
    </cacheField>
    <cacheField name="CELULAR DE CONTACTO" numFmtId="49">
      <sharedItems/>
    </cacheField>
    <cacheField name="CORREO" numFmtId="49">
      <sharedItems containsBlank="1"/>
    </cacheField>
    <cacheField name="ESTADO DEL CLIENTE" numFmtId="49">
      <sharedItems/>
    </cacheField>
    <cacheField name="MOTIVO DE LLAMADA" numFmtId="49">
      <sharedItems count="4">
        <s v="MONITOREO DEL SERVICIO"/>
        <s v="INFORMACIÓN GENERAL"/>
        <s v="CALIDAD DE LLAMADA"/>
        <s v="QUEJAS"/>
      </sharedItems>
    </cacheField>
    <cacheField name="SUBMOTIVO" numFmtId="49">
      <sharedItems count="14">
        <s v="LLAMADA DE PRUEBA"/>
        <s v="CONTACTO PARA AGENCIAS"/>
        <s v="CONTACTO PARA PROPUESTAS"/>
        <s v="INFORMACIÓN DE SERVICIOS"/>
        <s v="CORREO ELECTRÓNICO DE FUNCIONARIOS"/>
        <s v="EXTENSIONES DE FUNCIONARIOS"/>
        <s v="INFORMACION DE BANCA VIRTUAL/APP"/>
        <s v="INFORMACIÓN DE CRÉDITOS"/>
        <s v="INFORMACIÓN APP"/>
        <s v="CUENTAS DE AHORRO"/>
        <s v="LLAMADA CORTADA"/>
        <s v="INFORMACION DE TRANSFERENCIAS"/>
        <s v="CUENTAS DE AHORRO PROGRAMADO"/>
        <s v="POR EL CREDITO"/>
      </sharedItems>
    </cacheField>
    <cacheField name="OBSERVACIONES" numFmtId="49">
      <sharedItems/>
    </cacheField>
    <cacheField name="CANALES DE COMUNICACIÓN" numFmtId="49">
      <sharedItems count="1">
        <s v="Inbou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SCUELA_18" refreshedDate="46115.417131712966" createdVersion="6" refreshedVersion="6" minRefreshableVersion="3" recordCount="31">
  <cacheSource type="worksheet">
    <worksheetSource ref="C13:K44" sheet="REPORTE GERENCIAL"/>
  </cacheSource>
  <cacheFields count="9">
    <cacheField name="Fecha" numFmtId="164">
      <sharedItems containsSemiMixedTypes="0" containsNonDate="0" containsDate="1" containsString="0" minDate="2025-04-01T00:00:00" maxDate="2026-04-01T00:00:00" count="215"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5-08-11T00:00:00" u="1"/>
        <d v="2026-01-22T00:00:00" u="1"/>
        <d v="2025-04-24T00:00:00" u="1"/>
        <d v="2025-07-26T00:00:00" u="1"/>
        <d v="2025-08-07T00:00:00" u="1"/>
        <d v="2026-01-18T00:00:00" u="1"/>
        <d v="2025-04-20T00:00:00" u="1"/>
        <d v="2025-07-22T00:00:00" u="1"/>
        <d v="2025-08-03T00:00:00" u="1"/>
        <d v="2026-01-14T00:00:00" u="1"/>
        <d v="2025-04-16T00:00:00" u="1"/>
        <d v="2025-07-18T00:00:00" u="1"/>
        <d v="2026-01-10T00:00:00" u="1"/>
        <d v="2025-04-12T00:00:00" u="1"/>
        <d v="2025-07-14T00:00:00" u="1"/>
        <d v="2025-06-29T00:00:00" u="1"/>
        <d v="2026-01-06T00:00:00" u="1"/>
        <d v="2025-04-08T00:00:00" u="1"/>
        <d v="2025-07-10T00:00:00" u="1"/>
        <d v="2025-06-25T00:00:00" u="1"/>
        <d v="2026-01-02T00:00:00" u="1"/>
        <d v="2025-04-04T00:00:00" u="1"/>
        <d v="2025-07-06T00:00:00" u="1"/>
        <d v="2025-12-29T00:00:00" u="1"/>
        <d v="2025-06-21T00:00:00" u="1"/>
        <d v="2025-07-02T00:00:00" u="1"/>
        <d v="2025-12-25T00:00:00" u="1"/>
        <d v="2025-06-17T00:00:00" u="1"/>
        <d v="2025-12-21T00:00:00" u="1"/>
        <d v="2025-06-13T00:00:00" u="1"/>
        <d v="2025-12-17T00:00:00" u="1"/>
        <d v="2025-08-30T00:00:00" u="1"/>
        <d v="2025-06-09T00:00:00" u="1"/>
        <d v="2025-12-13T00:00:00" u="1"/>
        <d v="2025-08-26T00:00:00" u="1"/>
        <d v="2025-06-05T00:00:00" u="1"/>
        <d v="2025-12-09T00:00:00" u="1"/>
        <d v="2025-08-22T00:00:00" u="1"/>
        <d v="2025-06-01T00:00:00" u="1"/>
        <d v="2025-12-05T00:00:00" u="1"/>
        <d v="2025-08-18T00:00:00" u="1"/>
        <d v="2026-01-29T00:00:00" u="1"/>
        <d v="2025-12-01T00:00:00" u="1"/>
        <d v="2025-08-14T00:00:00" u="1"/>
        <d v="2026-01-25T00:00:00" u="1"/>
        <d v="2025-04-27T00:00:00" u="1"/>
        <d v="2025-07-29T00:00:00" u="1"/>
        <d v="2025-08-10T00:00:00" u="1"/>
        <d v="2026-01-21T00:00:00" u="1"/>
        <d v="2025-04-23T00:00:00" u="1"/>
        <d v="2025-07-25T00:00:00" u="1"/>
        <d v="2025-08-06T00:00:00" u="1"/>
        <d v="2026-01-17T00:00:00" u="1"/>
        <d v="2025-04-19T00:00:00" u="1"/>
        <d v="2025-07-21T00:00:00" u="1"/>
        <d v="2025-08-02T00:00:00" u="1"/>
        <d v="2026-01-13T00:00:00" u="1"/>
        <d v="2025-04-15T00:00:00" u="1"/>
        <d v="2025-07-17T00:00:00" u="1"/>
        <d v="2026-01-09T00:00:00" u="1"/>
        <d v="2025-04-11T00:00:00" u="1"/>
        <d v="2025-07-13T00:00:00" u="1"/>
        <d v="2025-06-28T00:00:00" u="1"/>
        <d v="2026-01-05T00:00:00" u="1"/>
        <d v="2025-04-07T00:00:00" u="1"/>
        <d v="2025-07-09T00:00:00" u="1"/>
        <d v="2025-06-24T00:00:00" u="1"/>
        <d v="2026-01-01T00:00:00" u="1"/>
        <d v="2025-04-03T00:00:00" u="1"/>
        <d v="2025-07-05T00:00:00" u="1"/>
        <d v="2025-12-28T00:00:00" u="1"/>
        <d v="2025-06-20T00:00:00" u="1"/>
        <d v="2025-07-01T00:00:00" u="1"/>
        <d v="2025-12-24T00:00:00" u="1"/>
        <d v="2025-06-16T00:00:00" u="1"/>
        <d v="2025-12-20T00:00:00" u="1"/>
        <d v="2025-06-12T00:00:00" u="1"/>
        <d v="2025-12-16T00:00:00" u="1"/>
        <d v="2025-08-29T00:00:00" u="1"/>
        <d v="2025-06-08T00:00:00" u="1"/>
        <d v="2025-12-12T00:00:00" u="1"/>
        <d v="2025-08-25T00:00:00" u="1"/>
        <d v="2025-06-04T00:00:00" u="1"/>
        <d v="2025-12-08T00:00:00" u="1"/>
        <d v="2025-08-21T00:00:00" u="1"/>
        <d v="2025-12-04T00:00:00" u="1"/>
        <d v="2025-08-17T00:00:00" u="1"/>
        <d v="2026-01-28T00:00:00" u="1"/>
        <d v="2025-04-30T00:00:00" u="1"/>
        <d v="2025-08-13T00:00:00" u="1"/>
        <d v="2026-01-24T00:00:00" u="1"/>
        <d v="2025-04-26T00:00:00" u="1"/>
        <d v="2025-07-28T00:00:00" u="1"/>
        <d v="2025-08-09T00:00:00" u="1"/>
        <d v="2026-01-20T00:00:00" u="1"/>
        <d v="2025-04-22T00:00:00" u="1"/>
        <d v="2025-07-24T00:00:00" u="1"/>
        <d v="2025-08-05T00:00:00" u="1"/>
        <d v="2026-01-16T00:00:00" u="1"/>
        <d v="2025-04-18T00:00:00" u="1"/>
        <d v="2025-07-20T00:00:00" u="1"/>
        <d v="2025-08-01T00:00:00" u="1"/>
        <d v="2026-01-12T00:00:00" u="1"/>
        <d v="2025-04-14T00:00:00" u="1"/>
        <d v="2025-07-16T00:00:00" u="1"/>
        <d v="2026-01-08T00:00:00" u="1"/>
        <d v="2025-04-10T00:00:00" u="1"/>
        <d v="2025-07-12T00:00:00" u="1"/>
        <d v="2025-06-27T00:00:00" u="1"/>
        <d v="2026-01-04T00:00:00" u="1"/>
        <d v="2025-04-06T00:00:00" u="1"/>
        <d v="2025-07-08T00:00:00" u="1"/>
        <d v="2025-12-31T00:00:00" u="1"/>
        <d v="2025-06-23T00:00:00" u="1"/>
        <d v="2025-04-02T00:00:00" u="1"/>
        <d v="2025-07-04T00:00:00" u="1"/>
        <d v="2025-12-27T00:00:00" u="1"/>
        <d v="2025-06-19T00:00:00" u="1"/>
        <d v="2025-12-23T00:00:00" u="1"/>
        <d v="2025-06-15T00:00:00" u="1"/>
        <d v="2025-12-19T00:00:00" u="1"/>
        <d v="2025-06-11T00:00:00" u="1"/>
        <d v="2025-12-15T00:00:00" u="1"/>
        <d v="2025-08-28T00:00:00" u="1"/>
        <d v="2025-06-07T00:00:00" u="1"/>
        <d v="2025-12-11T00:00:00" u="1"/>
        <d v="2025-08-24T00:00:00" u="1"/>
        <d v="2025-06-03T00:00:00" u="1"/>
        <d v="2025-12-07T00:00:00" u="1"/>
        <d v="2025-08-20T00:00:00" u="1"/>
        <d v="2026-01-31T00:00:00" u="1"/>
        <d v="2025-12-03T00:00:00" u="1"/>
        <d v="2025-08-16T00:00:00" u="1"/>
        <d v="2026-01-27T00:00:00" u="1"/>
        <d v="2025-04-29T00:00:00" u="1"/>
        <d v="2025-07-31T00:00:00" u="1"/>
        <d v="2025-08-12T00:00:00" u="1"/>
        <d v="2026-01-23T00:00:00" u="1"/>
        <d v="2025-04-25T00:00:00" u="1"/>
        <d v="2025-07-27T00:00:00" u="1"/>
        <d v="2025-08-08T00:00:00" u="1"/>
        <d v="2026-01-19T00:00:00" u="1"/>
        <d v="2025-04-21T00:00:00" u="1"/>
        <d v="2025-07-23T00:00:00" u="1"/>
        <d v="2025-08-04T00:00:00" u="1"/>
        <d v="2026-01-15T00:00:00" u="1"/>
        <d v="2025-04-17T00:00:00" u="1"/>
        <d v="2025-07-19T00:00:00" u="1"/>
        <d v="2026-01-11T00:00:00" u="1"/>
        <d v="2025-04-13T00:00:00" u="1"/>
        <d v="2025-07-15T00:00:00" u="1"/>
        <d v="2025-06-30T00:00:00" u="1"/>
        <d v="2026-01-07T00:00:00" u="1"/>
        <d v="2025-04-09T00:00:00" u="1"/>
        <d v="2025-07-11T00:00:00" u="1"/>
        <d v="2025-06-26T00:00:00" u="1"/>
        <d v="2026-01-03T00:00:00" u="1"/>
        <d v="2025-04-05T00:00:00" u="1"/>
        <d v="2025-07-07T00:00:00" u="1"/>
        <d v="2025-12-30T00:00:00" u="1"/>
        <d v="2025-06-22T00:00:00" u="1"/>
        <d v="2025-04-01T00:00:00" u="1"/>
        <d v="2025-07-03T00:00:00" u="1"/>
        <d v="2025-12-26T00:00:00" u="1"/>
        <d v="2025-06-18T00:00:00" u="1"/>
        <d v="2025-12-22T00:00:00" u="1"/>
        <d v="2025-06-14T00:00:00" u="1"/>
        <d v="2025-12-18T00:00:00" u="1"/>
        <d v="2025-08-31T00:00:00" u="1"/>
        <d v="2025-06-10T00:00:00" u="1"/>
        <d v="2025-12-14T00:00:00" u="1"/>
        <d v="2025-08-27T00:00:00" u="1"/>
        <d v="2025-06-06T00:00:00" u="1"/>
        <d v="2025-12-10T00:00:00" u="1"/>
        <d v="2025-08-23T00:00:00" u="1"/>
        <d v="2025-06-02T00:00:00" u="1"/>
        <d v="2025-12-06T00:00:00" u="1"/>
        <d v="2025-08-19T00:00:00" u="1"/>
        <d v="2026-01-30T00:00:00" u="1"/>
        <d v="2025-12-02T00:00:00" u="1"/>
        <d v="2025-08-15T00:00:00" u="1"/>
        <d v="2026-01-26T00:00:00" u="1"/>
        <d v="2025-04-28T00:00:00" u="1"/>
        <d v="2025-07-30T00:00:00" u="1"/>
      </sharedItems>
    </cacheField>
    <cacheField name="Llamadas entrantes" numFmtId="0">
      <sharedItems containsSemiMixedTypes="0" containsString="0" containsNumber="1" containsInteger="1" minValue="0" maxValue="7"/>
    </cacheField>
    <cacheField name="Llamadas Contestadas" numFmtId="0">
      <sharedItems containsSemiMixedTypes="0" containsString="0" containsNumber="1" containsInteger="1" minValue="0" maxValue="6"/>
    </cacheField>
    <cacheField name="Llamadas fantasma" numFmtId="49">
      <sharedItems containsSemiMixedTypes="0" containsString="0" containsNumber="1" containsInteger="1" minValue="0" maxValue="1"/>
    </cacheField>
    <cacheField name="Llamadas Recuperadas" numFmtId="0">
      <sharedItems containsSemiMixedTypes="0" containsString="0" containsNumber="1" containsInteger="1" minValue="0" maxValue="1"/>
    </cacheField>
    <cacheField name="Llamadas de Seguimiento" numFmtId="0">
      <sharedItems containsSemiMixedTypes="0" containsString="0" containsNumber="1" containsInteger="1" minValue="0" maxValue="0"/>
    </cacheField>
    <cacheField name="Llamadas Abandonadas" numFmtId="0">
      <sharedItems containsSemiMixedTypes="0" containsString="0" containsNumber="1" containsInteger="1" minValue="0" maxValue="1"/>
    </cacheField>
    <cacheField name="Nivel de servicio (SVL)" numFmtId="9">
      <sharedItems/>
    </cacheField>
    <cacheField name="Nivel de Abandono" numFmtId="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">
  <r>
    <s v="Bballadares7"/>
    <d v="2026-03-01T00:00:00"/>
    <s v="2026-03-01 06:44:35"/>
    <s v="2026-03-01 06:53:11"/>
    <s v="2026-03-01 06:53:11"/>
    <s v="Atendida"/>
    <s v="0999999999"/>
    <s v="Sin nombres"/>
    <s v="No aplica"/>
    <s v="022222222"/>
    <s v="0999999999"/>
    <s v="noaplica@kimobill.com"/>
    <s v="Titular"/>
    <x v="0"/>
    <x v="0"/>
    <s v="Llamada de prueba"/>
    <x v="0"/>
  </r>
  <r>
    <s v="Gfigueroa1"/>
    <d v="2026-03-02T00:00:00"/>
    <s v="2026-03-02 09:22:43"/>
    <s v="2026-03-02 09:25:09"/>
    <s v="2026-03-02 09:25:09"/>
    <s v="Recuperada"/>
    <s v="1717449167"/>
    <s v="CELI ESPIN GABRIELA ALEXANDRA"/>
    <s v="No aplica"/>
    <m/>
    <s v="0987357124"/>
    <m/>
    <s v="Titular"/>
    <x v="1"/>
    <x v="1"/>
    <s v="Se le está verificando la información y colgó la comunicación."/>
    <x v="0"/>
  </r>
  <r>
    <s v="Gfigueroa1"/>
    <d v="2026-03-02T00:00:00"/>
    <s v="2026-03-02 09:27:28"/>
    <s v="2026-03-02 09:28:51"/>
    <s v="2026-03-02 09:28:51"/>
    <s v="Atendida"/>
    <s v="1717449167"/>
    <s v="CELI ESPIN GABRIELA ALEXANDRA"/>
    <s v="No aplica"/>
    <m/>
    <s v="0987357124"/>
    <m/>
    <s v="Titular"/>
    <x v="1"/>
    <x v="2"/>
    <s v="Se le menciona el correo de propuesta."/>
    <x v="0"/>
  </r>
  <r>
    <s v="Ahernandez1"/>
    <d v="2026-03-02T00:00:00"/>
    <s v="2026-03-02 18:59:44"/>
    <s v="2026-03-02 19:02:17"/>
    <s v="2026-03-02 19:02:17"/>
    <s v="Atendida"/>
    <s v="0953285608"/>
    <s v="VITE BARCO JOSEPH ANTHONY"/>
    <s v="Milagro"/>
    <m/>
    <s v="0962270923"/>
    <m/>
    <s v="Titular"/>
    <x v="1"/>
    <x v="3"/>
    <s v="Se informa a socio acercarse a la agencia para conocer las cuotas de su crédito."/>
    <x v="0"/>
  </r>
  <r>
    <s v="Bballadares7"/>
    <d v="2026-03-03T00:00:00"/>
    <s v="2026-03-03 02:12:12"/>
    <s v="2026-03-03 02:21:18"/>
    <s v="2026-03-03 02:21:18"/>
    <s v="Atendida"/>
    <s v="0999999999"/>
    <s v="Sin nombres"/>
    <s v="No aplica"/>
    <s v="022222222"/>
    <s v="0999999999"/>
    <s v="noaplica@kimobill.com"/>
    <s v="Titular"/>
    <x v="0"/>
    <x v="0"/>
    <s v="Llamada de prueba"/>
    <x v="0"/>
  </r>
  <r>
    <s v="Otorres1"/>
    <d v="2026-03-03T00:00:00"/>
    <s v="2026-03-03 08:44:53"/>
    <s v="2026-03-03 08:51:09"/>
    <s v="2026-03-03 08:51:09"/>
    <s v="Atendida"/>
    <s v="1717449167"/>
    <s v="CELI ESPIN GABRIELA ALEXANDRA"/>
    <s v="QUITO"/>
    <s v="020000000"/>
    <s v="0987357124"/>
    <s v="noaplica@kimobill.com"/>
    <s v="Titular"/>
    <x v="1"/>
    <x v="4"/>
    <s v="Se entrega correo de propuestas."/>
    <x v="0"/>
  </r>
  <r>
    <s v="Vtoapanta1"/>
    <d v="2026-03-03T00:00:00"/>
    <s v="2026-03-03 11:14:35"/>
    <s v="2026-03-03 11:16:41"/>
    <s v="2026-03-03 11:16:41"/>
    <s v="Atendida"/>
    <s v="1750705681"/>
    <s v="ZUMBA MEJIA INDIRA DELIA"/>
    <s v="QUITO"/>
    <s v="020000000"/>
    <s v="0979270518"/>
    <s v="noaplica@kimobill.com"/>
    <s v="Titular"/>
    <x v="1"/>
    <x v="5"/>
    <s v="Se menciona que puede comunicarse con los asesores en horario laboral"/>
    <x v="0"/>
  </r>
  <r>
    <s v="Ltisalema2"/>
    <d v="2026-03-03T00:00:00"/>
    <s v="2026-03-03 15:53:13"/>
    <s v="2026-03-03 15:55:00"/>
    <s v="2026-03-03 15:55:00"/>
    <s v="Atendida"/>
    <s v="1750705681"/>
    <s v="ZUMBA MEJIA INDIRA DELIA"/>
    <s v="QUITO"/>
    <s v="020000000"/>
    <s v="0979270518"/>
    <s v="noaplica@kimobill.com"/>
    <s v="Titular"/>
    <x v="1"/>
    <x v="1"/>
    <s v="Contacto de agencias"/>
    <x v="0"/>
  </r>
  <r>
    <s v="Dlara1"/>
    <d v="2026-03-04T00:00:00"/>
    <s v="2026-03-04 09:48:32"/>
    <s v="2026-03-04 09:57:29"/>
    <s v="2026-03-04 09:57:29"/>
    <s v="Atendida"/>
    <s v="0920332939"/>
    <s v="GUADALUPE CARRIEL RAUL ALBERTO"/>
    <s v="No aplica"/>
    <s v="020000000"/>
    <s v="0997879510"/>
    <s v="rguadalupe@seguroslaunion.com"/>
    <s v="Titular"/>
    <x v="1"/>
    <x v="1"/>
    <s v="Información de telefonos de contacto de colaborador."/>
    <x v="0"/>
  </r>
  <r>
    <s v="Tochoa7"/>
    <d v="2026-03-04T00:00:00"/>
    <s v="2026-03-04 14:59:01"/>
    <s v="2026-03-04 15:02:47"/>
    <s v="2026-03-04 15:02:47"/>
    <s v="Atendida"/>
    <s v="0105763262"/>
    <s v="BUSTAMANTE SEGARRA VICENTE ALBINO"/>
    <s v="No aplica"/>
    <m/>
    <s v="0998211460"/>
    <s v="NO APLICA"/>
    <s v="Titular"/>
    <x v="1"/>
    <x v="1"/>
    <s v="Se entrega el número de la agencia Cumanda"/>
    <x v="0"/>
  </r>
  <r>
    <s v="Cleiva7"/>
    <d v="2026-03-04T00:00:00"/>
    <s v="2026-03-04 14:47:25"/>
    <s v="2026-03-04 15:05:13"/>
    <s v="2026-03-04 15:05:13"/>
    <s v="Atendida"/>
    <s v="0105763262"/>
    <s v="BUSTAMANTE SEGARRA VICENTE ALBINO"/>
    <s v="No aplica"/>
    <s v="020000000"/>
    <s v="0998211460"/>
    <s v="NO APLICA"/>
    <s v="Titular"/>
    <x v="1"/>
    <x v="5"/>
    <s v="Se le brinda la extensión."/>
    <x v="0"/>
  </r>
  <r>
    <s v="Cleiva7"/>
    <d v="2026-03-04T00:00:00"/>
    <s v="2026-03-04 15:05:37"/>
    <s v="2026-03-04 15:06:39"/>
    <s v="2026-03-04 15:06:39"/>
    <s v="Atendida"/>
    <s v="0105763262"/>
    <s v="BUSTAMANTE SEGARRA VICENTE ALBINO"/>
    <s v="No aplica"/>
    <s v="020000000"/>
    <s v="0998211460"/>
    <s v="NO APLICA"/>
    <s v="Titular"/>
    <x v="1"/>
    <x v="3"/>
    <s v="Se le brinda información sobre servicios."/>
    <x v="0"/>
  </r>
  <r>
    <s v="Husina6"/>
    <d v="2026-03-04T00:00:00"/>
    <s v="2026-03-04 16:30:27"/>
    <s v="2026-03-04 16:35:43"/>
    <s v="2026-03-04 16:35:43"/>
    <s v="Atendida"/>
    <s v="0926146242"/>
    <s v="DIAS PEÑAFIEL JOHANNA ELIZABETH"/>
    <s v="No aplica"/>
    <s v="020000000"/>
    <s v="0999999999"/>
    <s v="noaplica@kimobill.com"/>
    <s v="Titular"/>
    <x v="1"/>
    <x v="6"/>
    <s v="Se menciona que se debe acercar a la agencia"/>
    <x v="0"/>
  </r>
  <r>
    <s v="Bballadares7"/>
    <d v="2026-03-05T00:00:00"/>
    <s v="2026-03-05 01:11:41"/>
    <s v="2026-03-05 06:35:09"/>
    <s v="2026-03-05 06:35:09"/>
    <s v="Atendida"/>
    <s v="0999999999"/>
    <s v="Sin nombres"/>
    <s v="No aplica"/>
    <s v="022222222"/>
    <s v="0999999999"/>
    <s v="noaplica@kimobill.com"/>
    <s v="Titular"/>
    <x v="0"/>
    <x v="0"/>
    <s v="Llamada de prueba"/>
    <x v="0"/>
  </r>
  <r>
    <s v="Cleiva7"/>
    <d v="2026-03-05T00:00:00"/>
    <s v="2026-03-05 14:30:09"/>
    <s v="2026-03-05 14:33:50"/>
    <s v="2026-03-05 14:33:50"/>
    <s v="Atendida"/>
    <s v="0955743661"/>
    <s v="HURTADO PERALTA DANNY AXEL"/>
    <s v="No aplica"/>
    <s v="020000000"/>
    <s v="0993055179"/>
    <m/>
    <s v="Titular"/>
    <x v="1"/>
    <x v="1"/>
    <s v="Se le brinda el contacto de la agencia."/>
    <x v="0"/>
  </r>
  <r>
    <s v="Cleiva7"/>
    <d v="2026-03-05T00:00:00"/>
    <s v="2026-03-05 14:33:53"/>
    <s v="2026-03-05 14:35:36"/>
    <s v="2026-03-05 14:35:36"/>
    <s v="Atendida"/>
    <s v="0955743661"/>
    <s v="HURTADO PERALTA DANNY AXEL"/>
    <s v="No aplica"/>
    <s v="020000000"/>
    <s v="0993055179"/>
    <m/>
    <s v="Titular"/>
    <x v="1"/>
    <x v="7"/>
    <s v="Se le brinda la informacion sobre créditos."/>
    <x v="0"/>
  </r>
  <r>
    <s v="Cleiva7"/>
    <d v="2026-03-05T00:00:00"/>
    <s v="2026-03-05 14:35:38"/>
    <s v="2026-03-05 14:37:52"/>
    <s v="2026-03-05 14:37:52"/>
    <s v="Atendida"/>
    <s v="0955743661"/>
    <s v="HURTADO PERALTA DANNY AXEL"/>
    <s v="No aplica"/>
    <s v="020000000"/>
    <s v="0993055179"/>
    <m/>
    <s v="Titular"/>
    <x v="1"/>
    <x v="3"/>
    <s v="Se le brinda la información sobre servicios."/>
    <x v="0"/>
  </r>
  <r>
    <s v="Tochoa7"/>
    <d v="2026-03-06T00:00:00"/>
    <s v="2026-03-06 08:05:08"/>
    <s v="2026-03-06 08:07:04"/>
    <s v="2026-03-06 08:07:04"/>
    <s v="Atendida"/>
    <s v="1206407924"/>
    <s v="GALECIO VILLEGAS ADRIANA MARGARITA"/>
    <s v="No aplica"/>
    <m/>
    <s v="0980341685"/>
    <s v="NO APLICA"/>
    <s v="Titular"/>
    <x v="1"/>
    <x v="7"/>
    <s v="Se entrega información para la pre cancelación del crédito"/>
    <x v="0"/>
  </r>
  <r>
    <s v="Jguacho1"/>
    <d v="2026-03-07T00:00:00"/>
    <s v="2026-03-07 08:32:41"/>
    <s v="2026-03-07 08:36:54"/>
    <s v="2026-03-07 08:36:54"/>
    <s v="Atendida"/>
    <s v="0928993492"/>
    <s v="ESPINOZA RIVERA DIANA GUADALUPE"/>
    <s v="CUENCA"/>
    <m/>
    <s v="0969271914"/>
    <m/>
    <s v="Titular"/>
    <x v="1"/>
    <x v="8"/>
    <s v="Se le menciona cómo puede verificar el número de cuenta"/>
    <x v="0"/>
  </r>
  <r>
    <s v="Otorres1"/>
    <d v="2026-03-07T00:00:00"/>
    <s v="2026-03-07 18:24:52"/>
    <s v="2026-03-07 18:33:23"/>
    <s v="2026-03-07 18:33:23"/>
    <s v="Atendida"/>
    <s v="0940607815"/>
    <s v="VALLE PALAGUACHI THALYA VICTORIA"/>
    <s v="EL TRIUNFO"/>
    <s v="020000000"/>
    <s v="0990864061"/>
    <s v="noaplica@kimobill.com"/>
    <s v="Titular"/>
    <x v="1"/>
    <x v="9"/>
    <s v="Se indica que para su requerimiento debe acercarse a la agencia."/>
    <x v="0"/>
  </r>
  <r>
    <s v="Rmejia1"/>
    <d v="2026-03-08T00:00:00"/>
    <s v="2026-03-08 16:55:29"/>
    <s v="2026-03-08 16:57:12"/>
    <s v="2026-03-08 16:57:12"/>
    <s v="Atendida"/>
    <s v="0931956924"/>
    <s v="CARRASCO PERALTA GINGER ZULAY"/>
    <s v="No aplica"/>
    <s v="020000000"/>
    <s v="0982556321"/>
    <s v="noaplica@kimobill.com"/>
    <s v="Titular"/>
    <x v="2"/>
    <x v="10"/>
    <s v="Llamada cortada"/>
    <x v="0"/>
  </r>
  <r>
    <s v="Otorres1"/>
    <d v="2026-03-08T00:00:00"/>
    <s v="2026-03-08 17:00:03"/>
    <s v="2026-03-08 17:01:48"/>
    <s v="2026-03-08 17:01:48"/>
    <s v="Atendida"/>
    <s v="0931956924"/>
    <s v="CARRASCO PERALTA GINGER ZULAY"/>
    <s v="No aplica"/>
    <s v="020000000"/>
    <s v="0982556321"/>
    <s v="noaplica@kimobill.com"/>
    <s v="Titular"/>
    <x v="1"/>
    <x v="11"/>
    <s v="Se corta la llamada no se realiza el proceso."/>
    <x v="0"/>
  </r>
  <r>
    <s v="Tochoa7"/>
    <d v="2026-03-09T00:00:00"/>
    <s v="2026-03-09 12:51:42"/>
    <s v="2026-03-09 12:51:51"/>
    <s v="2026-03-09 12:51:51"/>
    <s v="Atendida"/>
    <s v="0912546090"/>
    <s v="NICOLA VELASQUEZ BRENDA ALICIA"/>
    <s v="No aplica"/>
    <m/>
    <s v="0997929634"/>
    <s v="NO APLICA"/>
    <s v="Titular"/>
    <x v="1"/>
    <x v="9"/>
    <s v="Se entrega información y requisitos para el cierre de cuenta"/>
    <x v="0"/>
  </r>
  <r>
    <s v="Tochoa7"/>
    <d v="2026-03-09T00:00:00"/>
    <s v="2026-03-09 12:48:52"/>
    <s v="2026-03-09 12:51:03"/>
    <s v="2026-03-09 12:51:03"/>
    <s v="Atendida"/>
    <s v="0912546090"/>
    <s v="NICOLA VELASQUEZ BRENDA ALICIA"/>
    <s v="No aplica"/>
    <m/>
    <s v="0997929634"/>
    <s v="NO APLICA"/>
    <s v="Titular"/>
    <x v="1"/>
    <x v="1"/>
    <s v="Se entrega contacto de agencia"/>
    <x v="0"/>
  </r>
  <r>
    <s v="Gfigueroa1"/>
    <d v="2026-03-09T00:00:00"/>
    <s v="2026-03-09 15:12:09"/>
    <s v="2026-03-09 15:18:25"/>
    <s v="2026-03-09 15:18:25"/>
    <s v="Atendida"/>
    <s v="0927843631"/>
    <s v="RUIZ ABARCA JOSE FRANCISCO"/>
    <s v="No aplica"/>
    <m/>
    <s v="0982805505"/>
    <m/>
    <s v="Titular"/>
    <x v="1"/>
    <x v="12"/>
    <s v="Información del ahorro programado."/>
    <x v="0"/>
  </r>
  <r>
    <s v="Gfigueroa1"/>
    <d v="2026-03-09T00:00:00"/>
    <s v="2026-03-09 15:18:12"/>
    <s v="2026-03-09 15:18:56"/>
    <s v="2026-03-09 15:18:56"/>
    <s v="Atendida"/>
    <s v="0927843631"/>
    <s v="RUIZ ABARCA JOSE FRANCISCO"/>
    <s v="No aplica"/>
    <m/>
    <s v="0982805505"/>
    <m/>
    <s v="Titular"/>
    <x v="1"/>
    <x v="7"/>
    <s v="Información del pago del crédito."/>
    <x v="0"/>
  </r>
  <r>
    <s v="Dlara1"/>
    <d v="2026-03-10T00:00:00"/>
    <s v="2026-03-10 10:07:39"/>
    <s v="2026-03-10 10:14:59"/>
    <s v="2026-03-10 10:14:59"/>
    <s v="Atendida"/>
    <s v="0401363981"/>
    <s v="BENAVIDES NARVAEZ DIEGO GERMAN"/>
    <s v="QUITO"/>
    <m/>
    <s v="0999999999"/>
    <m/>
    <s v="Titular"/>
    <x v="1"/>
    <x v="1"/>
    <s v="Información de  contacto de agencia."/>
    <x v="0"/>
  </r>
  <r>
    <s v="Ltisalema2"/>
    <d v="2026-03-11T00:00:00"/>
    <s v="2026-03-11 06:15:35"/>
    <s v="2026-03-11 06:26:43"/>
    <s v="2026-03-11 06:26:43"/>
    <s v="Atendida"/>
    <s v="0999999999"/>
    <s v="Sin nombres"/>
    <s v="No aplica"/>
    <s v="022222222"/>
    <s v="0999999999"/>
    <s v="noaplica@kimobill.com"/>
    <s v="Titular"/>
    <x v="0"/>
    <x v="0"/>
    <s v="Llamada de prueba"/>
    <x v="0"/>
  </r>
  <r>
    <s v="Dcevallos1"/>
    <d v="2026-03-12T00:00:00"/>
    <s v="2026-03-12 06:09:00"/>
    <s v="2026-03-12 06:10:22"/>
    <s v="2026-03-12 06:10:22"/>
    <s v="Atendida"/>
    <s v="0999999999"/>
    <s v="Sin nombres"/>
    <s v="No aplica"/>
    <s v="022222222"/>
    <s v="0964256168"/>
    <s v="noaplica@kimobill.com"/>
    <s v="Titular"/>
    <x v="0"/>
    <x v="0"/>
    <s v="Llamada de prueba."/>
    <x v="0"/>
  </r>
  <r>
    <s v="Macaro1"/>
    <d v="2026-03-12T00:00:00"/>
    <s v="2026-03-12 12:55:12"/>
    <s v="2026-03-12 12:57:06"/>
    <s v="2026-03-12 12:57:06"/>
    <s v="Atendida"/>
    <s v="9999999999"/>
    <s v="Sin nombres"/>
    <s v="No aplica"/>
    <s v="022222222"/>
    <s v="0999999999"/>
    <s v="noaplica@kimobill.com"/>
    <s v="Titular"/>
    <x v="2"/>
    <x v="0"/>
    <s v="Llamada de prueba"/>
    <x v="0"/>
  </r>
  <r>
    <s v="Ahernandez1"/>
    <d v="2026-03-12T00:00:00"/>
    <s v="2026-03-12 12:57:36"/>
    <s v="2026-03-12 12:57:59"/>
    <s v="2026-03-12 12:57:59"/>
    <s v="Atendida"/>
    <s v="0999999999"/>
    <s v="Sin nombres"/>
    <s v="No aplica"/>
    <s v="022222222"/>
    <s v="0999999999"/>
    <s v="noaplica@kimobill.com"/>
    <s v="Titular"/>
    <x v="2"/>
    <x v="0"/>
    <s v="Llamada de prueba."/>
    <x v="0"/>
  </r>
  <r>
    <s v="Ltisalema2"/>
    <d v="2026-03-13T00:00:00"/>
    <s v="2026-03-13 05:42:57"/>
    <s v="2026-03-13 05:53:26"/>
    <s v="2026-03-13 05:53:26"/>
    <s v="Atendida"/>
    <s v="0999999999"/>
    <s v="Sin nombres"/>
    <s v="No aplica"/>
    <s v="022222222"/>
    <s v="0999999999"/>
    <s v="noaplica@kimobill.com"/>
    <s v="Titular"/>
    <x v="0"/>
    <x v="0"/>
    <s v="Llamada de prueba"/>
    <x v="0"/>
  </r>
  <r>
    <s v="Jgallardo2"/>
    <d v="2026-03-13T00:00:00"/>
    <s v="2026-03-13 11:16:32"/>
    <s v="2026-03-13 11:24:11"/>
    <s v="2026-03-13 11:24:11"/>
    <s v="Atendida"/>
    <s v="0350006664"/>
    <s v="ORTEGA MONTOYA EMILY ANTONIETA"/>
    <s v="AZOGUES"/>
    <m/>
    <s v="0968386664"/>
    <s v="emi182105@hotmail.com"/>
    <s v="Titular"/>
    <x v="3"/>
    <x v="13"/>
    <s v="Se ingresa PQRS exitosamente."/>
    <x v="0"/>
  </r>
  <r>
    <s v="Vtoapanta1"/>
    <d v="2026-03-14T00:00:00"/>
    <s v="2026-03-14 02:13:32"/>
    <s v="2026-03-14 02:14:22"/>
    <s v="2026-03-14 02:14:22"/>
    <s v="Atendida"/>
    <s v="0999999999"/>
    <s v="Sin nombres"/>
    <s v="No aplica"/>
    <s v="022222222"/>
    <s v="0999999999"/>
    <s v="noaplica@kimobill.com"/>
    <s v="Titular"/>
    <x v="2"/>
    <x v="0"/>
    <s v="Prueba"/>
    <x v="0"/>
  </r>
  <r>
    <s v="Tochoa7"/>
    <d v="2026-03-15T00:00:00"/>
    <s v="2026-03-15 06:33:01"/>
    <s v="2026-03-15 06:34:57"/>
    <s v="2026-03-15 06:34:57"/>
    <s v="Atendida"/>
    <s v="0999999999"/>
    <s v="Sin nombres"/>
    <s v="No aplica"/>
    <s v="022222222"/>
    <s v="0999999999"/>
    <s v="noaplica@kimobill.com"/>
    <s v="Titular"/>
    <x v="0"/>
    <x v="0"/>
    <s v="Llamada de prueba"/>
    <x v="0"/>
  </r>
  <r>
    <s v="Husina6"/>
    <d v="2026-03-15T00:00:00"/>
    <s v="2026-03-15 12:34:06"/>
    <s v="2026-03-15 13:10:35"/>
    <s v="2026-03-15 13:10:35"/>
    <s v="Atendida"/>
    <s v="1720807468"/>
    <s v="BARRAGAN MACIAS MARIA BELEN"/>
    <s v="No aplica"/>
    <s v="020000000"/>
    <s v="0991093134"/>
    <s v="noaplica@kimobill.com"/>
    <s v="Titular"/>
    <x v="1"/>
    <x v="3"/>
    <s v="Información de servivios funerarios"/>
    <x v="0"/>
  </r>
  <r>
    <s v="Dmunoz9"/>
    <d v="2026-03-15T00:00:00"/>
    <s v="2026-03-15 14:02:38"/>
    <s v="2026-03-15 14:04:25"/>
    <s v="2026-03-15 14:04:25"/>
    <s v="Atendida"/>
    <s v="0999999999"/>
    <s v="Sin nombres"/>
    <s v="No aplica"/>
    <s v="020000000"/>
    <s v="0999999999"/>
    <s v="noaplica@kimobill.com"/>
    <s v="Titular"/>
    <x v="2"/>
    <x v="10"/>
    <s v="Socio corta la llamada"/>
    <x v="0"/>
  </r>
  <r>
    <s v="Dmunoz9"/>
    <d v="2026-03-15T00:00:00"/>
    <s v="2026-03-15 14:04:33"/>
    <s v="2026-03-15 14:08:20"/>
    <s v="2026-03-15 14:08:20"/>
    <s v="Atendida"/>
    <s v="1720807468"/>
    <s v="BARRAGAN MACIAS MARIA BELEN"/>
    <s v="No aplica"/>
    <s v="020000000"/>
    <s v="0991093134"/>
    <s v="noaplica@kimobill.com"/>
    <s v="Titular"/>
    <x v="1"/>
    <x v="3"/>
    <s v="se direcciona a socia para que se comunique con servicios de la cooperativa  para servicios exequial"/>
    <x v="0"/>
  </r>
  <r>
    <s v="Vtoapanta1"/>
    <d v="2026-03-16T00:00:00"/>
    <s v="2026-03-16 01:45:04"/>
    <s v="2026-03-16 01:45:55"/>
    <s v="2026-03-16 01:45:55"/>
    <s v="Atendida"/>
    <s v="0999999999"/>
    <s v="Sin nombres"/>
    <s v="No aplica"/>
    <s v="022222222"/>
    <s v="0999999999"/>
    <s v="noaplica@kimobill.com"/>
    <s v="Titular"/>
    <x v="2"/>
    <x v="0"/>
    <s v="Prueba"/>
    <x v="0"/>
  </r>
  <r>
    <s v="Dvelez2"/>
    <d v="2026-03-16T00:00:00"/>
    <s v="2026-03-16 08:56:14"/>
    <s v="2026-03-16 09:01:16"/>
    <s v="2026-03-16 09:01:16"/>
    <s v="Atendida"/>
    <s v="1307832780"/>
    <s v="VERA ROSADO AIDA SEGUNDA"/>
    <s v="No aplica"/>
    <s v="020000000"/>
    <s v="0990067097"/>
    <s v="noaplica@kimobill.com"/>
    <s v="Titular"/>
    <x v="1"/>
    <x v="8"/>
    <s v="Se otorga información de la App."/>
    <x v="0"/>
  </r>
  <r>
    <s v="Dvelez2"/>
    <d v="2026-03-18T00:00:00"/>
    <s v="2026-03-18 05:39:20"/>
    <s v="2026-03-18 05:40:07"/>
    <s v="2026-03-18 05:40:07"/>
    <s v="Atendida"/>
    <s v="0999999999"/>
    <s v="Ejecutivos Kimobill"/>
    <s v="No aplica"/>
    <s v="020000000"/>
    <s v="0998781748"/>
    <s v="noaplica@kimobill.com"/>
    <s v="Titular"/>
    <x v="2"/>
    <x v="0"/>
    <s v="Llamada de prueba."/>
    <x v="0"/>
  </r>
  <r>
    <s v="Dvelez2"/>
    <d v="2026-03-20T00:00:00"/>
    <s v="2026-03-20 06:27:02"/>
    <s v="2026-03-20 06:29:43"/>
    <s v="2026-03-20 06:29:43"/>
    <s v="Atendida"/>
    <s v="0999999999"/>
    <s v="Ejecutivos Kimobill"/>
    <s v="No aplica"/>
    <s v="020000000"/>
    <s v="0964256868"/>
    <s v="noaplica@kimobill.com"/>
    <s v="Titular"/>
    <x v="2"/>
    <x v="0"/>
    <s v="Llamada de prueba."/>
    <x v="0"/>
  </r>
  <r>
    <s v="Cleiva7"/>
    <d v="2026-03-23T00:00:00"/>
    <s v="2026-03-23 05:10:54"/>
    <s v="2026-03-23 05:13:20"/>
    <s v="2026-03-23 05:13:20"/>
    <s v="Atendida"/>
    <s v="0999999999"/>
    <s v="Sin nombres"/>
    <s v="No aplica"/>
    <s v="022222222"/>
    <s v="0999999999"/>
    <s v="noaplica@kimobill.com"/>
    <s v="Titular"/>
    <x v="2"/>
    <x v="0"/>
    <s v="Llamada de prueba"/>
    <x v="0"/>
  </r>
  <r>
    <s v="Gfigueroa1"/>
    <d v="2026-03-24T00:00:00"/>
    <s v="2026-03-24 10:25:30"/>
    <s v="2026-03-24 10:26:58"/>
    <s v="2026-03-24 10:26:58"/>
    <s v="Atendida"/>
    <s v="0999999999"/>
    <s v="Sin nombres"/>
    <s v="No aplica"/>
    <s v="022222222"/>
    <s v="0999999999"/>
    <s v="noaplica@kimobill.com"/>
    <s v="Titular"/>
    <x v="2"/>
    <x v="10"/>
    <s v="Llamada cortada no hubo ni siquiera saludo."/>
    <x v="0"/>
  </r>
  <r>
    <s v="Gfigueroa1"/>
    <d v="2026-03-24T00:00:00"/>
    <s v="2026-03-24 10:26:02"/>
    <s v="2026-03-24 10:27:21"/>
    <s v="2026-03-24 10:27:21"/>
    <s v="Atendida"/>
    <s v="0999999999"/>
    <s v="Sin nombres"/>
    <s v="No aplica"/>
    <s v="022222222"/>
    <s v="0999999999"/>
    <s v="noaplica@kimobill.com"/>
    <s v="Titular"/>
    <x v="2"/>
    <x v="10"/>
    <s v="Llamada sin audio"/>
    <x v="0"/>
  </r>
  <r>
    <s v="Ahernandez1"/>
    <d v="2026-03-24T00:00:00"/>
    <s v="2026-03-24 10:29:40"/>
    <s v="2026-03-24 10:30:08"/>
    <s v="2026-03-24 10:30:08"/>
    <s v="Atendida"/>
    <s v="099999999999999"/>
    <s v="Sin nombres"/>
    <s v="No aplica"/>
    <s v="020000000"/>
    <s v="0984361484"/>
    <s v="noaplica@kimobill.com"/>
    <s v="Titular"/>
    <x v="2"/>
    <x v="10"/>
    <s v="Llamada cortada."/>
    <x v="0"/>
  </r>
  <r>
    <s v="Cleiva7"/>
    <s v="2026-03-25"/>
    <s v="2026-03-25 04:54:04"/>
    <s v="2026-03-25 04:56:20"/>
    <s v="2026-03-25 04:56:20"/>
    <s v="Atendida"/>
    <s v="0999999999"/>
    <s v="Sin nombres"/>
    <s v="No aplica"/>
    <s v="022222222"/>
    <s v="0999999999"/>
    <s v="noaplica@kimobill.com"/>
    <s v="Titular"/>
    <x v="2"/>
    <x v="0"/>
    <s v="Llamada de prueba."/>
    <x v="0"/>
  </r>
  <r>
    <s v="Mproano1"/>
    <s v="2026-03-26"/>
    <s v="2026-03-26 13:21:45"/>
    <s v="2026-03-26 13:31:00"/>
    <s v="2026-03-26 13:31:00"/>
    <s v="Atendida"/>
    <s v="17132301713"/>
    <s v="CAHUASQUI PROAÑO PABLO ESTEBAN"/>
    <s v="QUITO"/>
    <m/>
    <s v="0984644099"/>
    <m/>
    <s v="Titular"/>
    <x v="1"/>
    <x v="9"/>
    <s v="S e comunica tercera persona por solicitar información de socio"/>
    <x v="0"/>
  </r>
  <r>
    <s v="Jvalencia1"/>
    <s v="2026-03-27"/>
    <s v="2026-03-27 14:15:23"/>
    <s v="2026-03-27 14:33:51"/>
    <s v="2026-03-27 14:33:51"/>
    <s v="Atendida"/>
    <s v="1205803750"/>
    <s v="SALDAÑA APUANGO WALTER RICARDO"/>
    <s v="No aplica"/>
    <s v="020000000"/>
    <s v="0999999999"/>
    <s v="noaplica@kimobill.com"/>
    <s v="Titular"/>
    <x v="1"/>
    <x v="9"/>
    <s v="Socio se comunica para solicitar numero de cuenta."/>
    <x v="0"/>
  </r>
  <r>
    <s v="Tochoa7"/>
    <s v="2026-03-28"/>
    <s v="2026-03-28 04:35:12"/>
    <s v="2026-03-28 04:40:47"/>
    <s v="2026-03-28 04:40:47"/>
    <s v="Atendida"/>
    <s v="0999999999"/>
    <s v="Sin nombres"/>
    <s v="No aplica"/>
    <s v="022222222"/>
    <s v="0999999999"/>
    <s v="noaplica@kimobill.com"/>
    <s v="Titular"/>
    <x v="0"/>
    <x v="0"/>
    <s v="Llamada de prueba"/>
    <x v="0"/>
  </r>
  <r>
    <s v="Jgallardo2"/>
    <s v="2026-03-29"/>
    <s v="2026-03-29 05:17:43"/>
    <s v="2026-03-29 05:18:08"/>
    <s v="2026-03-29 05:18:08"/>
    <s v="Atendida"/>
    <s v="0999999999"/>
    <s v="Sin nombres"/>
    <s v="No aplica"/>
    <s v="022222222"/>
    <s v="0999999999"/>
    <s v="noaplica@kimobill.com"/>
    <s v="Titular"/>
    <x v="2"/>
    <x v="0"/>
    <s v="Llamada de prueba."/>
    <x v="0"/>
  </r>
  <r>
    <s v="Macaro1"/>
    <s v="2026-03-30"/>
    <s v="2026-03-30 04:25:20"/>
    <s v="2026-03-30 04:27:32"/>
    <s v="2026-03-30 04:27:32"/>
    <s v="Atendida"/>
    <s v="0999999999"/>
    <s v="Sin nombres"/>
    <s v="No aplica"/>
    <s v="022222222"/>
    <s v="0999999999"/>
    <s v="noaplica@kimobill.com"/>
    <s v="Titular"/>
    <x v="2"/>
    <x v="0"/>
    <s v="LLamada de prueba"/>
    <x v="0"/>
  </r>
  <r>
    <s v="Bballadares7"/>
    <s v="2026-03-31"/>
    <s v="2026-03-31 05:28:27"/>
    <s v="2026-03-31 05:47:07"/>
    <s v="2026-03-31 05:47:07"/>
    <s v="Atendida"/>
    <s v="0999999999"/>
    <s v="Sin nombres"/>
    <s v="No aplica"/>
    <s v="022222222"/>
    <s v="0999999999"/>
    <s v="noaplica@kimobill.com"/>
    <s v="Titular"/>
    <x v="0"/>
    <x v="0"/>
    <s v="Llamada de prueba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1">
  <r>
    <x v="0"/>
    <n v="0"/>
    <n v="0"/>
    <n v="0"/>
    <n v="0"/>
    <n v="0"/>
    <n v="0"/>
    <s v="0%"/>
    <s v="0%"/>
  </r>
  <r>
    <x v="1"/>
    <n v="1"/>
    <n v="1"/>
    <n v="0"/>
    <n v="1"/>
    <n v="0"/>
    <n v="0"/>
    <s v="100%"/>
    <s v="0%"/>
  </r>
  <r>
    <x v="2"/>
    <n v="1"/>
    <n v="1"/>
    <n v="0"/>
    <n v="0"/>
    <n v="0"/>
    <n v="0"/>
    <s v="100%"/>
    <s v="0%"/>
  </r>
  <r>
    <x v="3"/>
    <n v="0"/>
    <n v="0"/>
    <n v="0"/>
    <n v="0"/>
    <n v="0"/>
    <n v="0"/>
    <s v="0%"/>
    <s v="0%"/>
  </r>
  <r>
    <x v="4"/>
    <n v="0"/>
    <n v="0"/>
    <n v="0"/>
    <n v="0"/>
    <n v="0"/>
    <n v="0"/>
    <s v="0%"/>
    <s v="0%"/>
  </r>
  <r>
    <x v="5"/>
    <n v="2"/>
    <n v="2"/>
    <n v="0"/>
    <n v="0"/>
    <n v="0"/>
    <n v="0"/>
    <s v="100%"/>
    <s v="0%"/>
  </r>
  <r>
    <x v="6"/>
    <n v="1"/>
    <n v="1"/>
    <n v="0"/>
    <n v="0"/>
    <n v="0"/>
    <n v="0"/>
    <s v="100%"/>
    <s v="0%"/>
  </r>
  <r>
    <x v="7"/>
    <n v="0"/>
    <n v="0"/>
    <n v="0"/>
    <n v="0"/>
    <n v="0"/>
    <n v="0"/>
    <s v="0%"/>
    <s v="0%"/>
  </r>
  <r>
    <x v="8"/>
    <n v="0"/>
    <n v="0"/>
    <n v="0"/>
    <n v="0"/>
    <n v="0"/>
    <n v="0"/>
    <s v="0%"/>
    <s v="0%"/>
  </r>
  <r>
    <x v="9"/>
    <n v="2"/>
    <n v="2"/>
    <n v="0"/>
    <n v="0"/>
    <n v="0"/>
    <n v="0"/>
    <s v="100%"/>
    <s v="0%"/>
  </r>
  <r>
    <x v="10"/>
    <n v="1"/>
    <n v="1"/>
    <n v="0"/>
    <n v="0"/>
    <n v="0"/>
    <n v="0"/>
    <s v="100%"/>
    <s v="0%"/>
  </r>
  <r>
    <x v="11"/>
    <n v="2"/>
    <n v="2"/>
    <n v="0"/>
    <n v="0"/>
    <n v="0"/>
    <n v="0"/>
    <s v="100%"/>
    <s v="0%"/>
  </r>
  <r>
    <x v="12"/>
    <n v="2"/>
    <n v="2"/>
    <n v="0"/>
    <n v="0"/>
    <n v="0"/>
    <n v="0"/>
    <s v="100%"/>
    <s v="0%"/>
  </r>
  <r>
    <x v="13"/>
    <n v="1"/>
    <n v="1"/>
    <n v="0"/>
    <n v="0"/>
    <n v="0"/>
    <n v="0"/>
    <s v="100%"/>
    <s v="0%"/>
  </r>
  <r>
    <x v="14"/>
    <n v="1"/>
    <n v="1"/>
    <n v="0"/>
    <n v="0"/>
    <n v="0"/>
    <n v="0"/>
    <s v="100%"/>
    <s v="0%"/>
  </r>
  <r>
    <x v="15"/>
    <n v="2"/>
    <n v="2"/>
    <n v="1"/>
    <n v="0"/>
    <n v="0"/>
    <n v="0"/>
    <s v="100%"/>
    <s v="0%"/>
  </r>
  <r>
    <x v="16"/>
    <n v="0"/>
    <n v="0"/>
    <n v="0"/>
    <n v="0"/>
    <n v="0"/>
    <n v="0"/>
    <s v="0%"/>
    <s v="0%"/>
  </r>
  <r>
    <x v="17"/>
    <n v="0"/>
    <n v="0"/>
    <n v="0"/>
    <n v="0"/>
    <n v="0"/>
    <n v="0"/>
    <s v="0%"/>
    <s v="0%"/>
  </r>
  <r>
    <x v="18"/>
    <n v="0"/>
    <n v="0"/>
    <n v="0"/>
    <n v="0"/>
    <n v="0"/>
    <n v="0"/>
    <s v="0%"/>
    <s v="0%"/>
  </r>
  <r>
    <x v="19"/>
    <n v="0"/>
    <n v="0"/>
    <n v="0"/>
    <n v="0"/>
    <n v="0"/>
    <n v="0"/>
    <s v="0%"/>
    <s v="0%"/>
  </r>
  <r>
    <x v="20"/>
    <n v="0"/>
    <n v="0"/>
    <n v="0"/>
    <n v="0"/>
    <n v="0"/>
    <n v="0"/>
    <s v="0%"/>
    <s v="0%"/>
  </r>
  <r>
    <x v="21"/>
    <n v="0"/>
    <n v="0"/>
    <n v="0"/>
    <n v="0"/>
    <n v="0"/>
    <n v="0"/>
    <s v="0%"/>
    <s v="0%"/>
  </r>
  <r>
    <x v="22"/>
    <n v="0"/>
    <n v="0"/>
    <n v="0"/>
    <n v="0"/>
    <n v="0"/>
    <n v="0"/>
    <s v="0%"/>
    <s v="0%"/>
  </r>
  <r>
    <x v="23"/>
    <n v="4"/>
    <n v="3"/>
    <n v="0"/>
    <n v="0"/>
    <n v="0"/>
    <n v="1"/>
    <s v="75%"/>
    <s v="25%"/>
  </r>
  <r>
    <x v="24"/>
    <n v="2"/>
    <n v="1"/>
    <n v="0"/>
    <n v="0"/>
    <n v="0"/>
    <n v="1"/>
    <s v="50%"/>
    <s v="50%"/>
  </r>
  <r>
    <x v="25"/>
    <n v="1"/>
    <n v="1"/>
    <n v="0"/>
    <n v="0"/>
    <n v="0"/>
    <n v="0"/>
    <s v="100%"/>
    <s v="0%"/>
  </r>
  <r>
    <x v="26"/>
    <n v="3"/>
    <n v="3"/>
    <n v="0"/>
    <n v="0"/>
    <n v="0"/>
    <n v="0"/>
    <s v="100%"/>
    <s v="0%"/>
  </r>
  <r>
    <x v="27"/>
    <n v="1"/>
    <n v="1"/>
    <n v="0"/>
    <n v="0"/>
    <n v="0"/>
    <n v="0"/>
    <s v="100%"/>
    <s v="0%"/>
  </r>
  <r>
    <x v="28"/>
    <n v="1"/>
    <n v="1"/>
    <n v="0"/>
    <n v="0"/>
    <n v="0"/>
    <n v="0"/>
    <s v="100%"/>
    <s v="0%"/>
  </r>
  <r>
    <x v="29"/>
    <n v="7"/>
    <n v="6"/>
    <n v="0"/>
    <n v="0"/>
    <n v="0"/>
    <n v="1"/>
    <s v="86%"/>
    <s v="14%"/>
  </r>
  <r>
    <x v="30"/>
    <n v="5"/>
    <n v="4"/>
    <n v="0"/>
    <n v="0"/>
    <n v="0"/>
    <n v="1"/>
    <s v="80%"/>
    <s v="20%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Dinámica2" cacheId="7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CANAL DE COMUNICACIÓN">
  <location ref="G9:I11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">
        <item x="0"/>
        <item t="default"/>
      </items>
    </pivotField>
  </pivotFields>
  <rowFields count="1">
    <field x="16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" fld="16" subtotal="count" baseField="0" baseItem="0"/>
    <dataField name="%" fld="16" subtotal="count" showDataAs="percentOfTotal" baseField="0" baseItem="0" numFmtId="10"/>
  </dataFields>
  <formats count="26">
    <format dxfId="193">
      <pivotArea type="all" dataOnly="0" outline="0" fieldPosition="0"/>
    </format>
    <format dxfId="192">
      <pivotArea outline="0" collapsedLevelsAreSubtotals="1" fieldPosition="0"/>
    </format>
    <format dxfId="191">
      <pivotArea field="16" type="button" dataOnly="0" labelOnly="1" outline="0" axis="axisRow" fieldPosition="0"/>
    </format>
    <format dxfId="190">
      <pivotArea dataOnly="0" labelOnly="1" fieldPosition="0">
        <references count="1">
          <reference field="16" count="0"/>
        </references>
      </pivotArea>
    </format>
    <format dxfId="189">
      <pivotArea dataOnly="0" labelOnly="1" grandRow="1" outline="0" fieldPosition="0"/>
    </format>
    <format dxfId="1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7">
      <pivotArea outline="0" collapsedLevelsAreSubtotals="1" fieldPosition="0"/>
    </format>
    <format dxfId="186">
      <pivotArea collapsedLevelsAreSubtotals="1" fieldPosition="0">
        <references count="1">
          <reference field="16" count="0"/>
        </references>
      </pivotArea>
    </format>
    <format dxfId="185">
      <pivotArea field="16" type="button" dataOnly="0" labelOnly="1" outline="0" axis="axisRow" fieldPosition="0"/>
    </format>
    <format dxfId="1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3">
      <pivotArea grandRow="1" outline="0" collapsedLevelsAreSubtotals="1" fieldPosition="0"/>
    </format>
    <format dxfId="182">
      <pivotArea dataOnly="0" labelOnly="1" grandRow="1" outline="0" fieldPosition="0"/>
    </format>
    <format dxfId="181">
      <pivotArea grandRow="1" outline="0" collapsedLevelsAreSubtotals="1" fieldPosition="0"/>
    </format>
    <format dxfId="180">
      <pivotArea dataOnly="0" labelOnly="1" grandRow="1" outline="0" fieldPosition="0"/>
    </format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16" type="button" dataOnly="0" labelOnly="1" outline="0" axis="axisRow" fieldPosition="0"/>
    </format>
    <format dxfId="176">
      <pivotArea dataOnly="0" labelOnly="1" fieldPosition="0">
        <references count="1">
          <reference field="16" count="0"/>
        </references>
      </pivotArea>
    </format>
    <format dxfId="175">
      <pivotArea dataOnly="0" labelOnly="1" grandRow="1" outline="0" fieldPosition="0"/>
    </format>
    <format dxfId="1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16" type="button" dataOnly="0" labelOnly="1" outline="0" axis="axisRow" fieldPosition="0"/>
    </format>
    <format dxfId="170">
      <pivotArea dataOnly="0" labelOnly="1" fieldPosition="0">
        <references count="1">
          <reference field="16" count="0"/>
        </references>
      </pivotArea>
    </format>
    <format dxfId="169">
      <pivotArea dataOnly="0" labelOnly="1" grandRow="1" outline="0" fieldPosition="0"/>
    </format>
    <format dxfId="1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LUCHA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1" cacheId="7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MOTIVO DE LA LLAMADA">
  <location ref="C9:E29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multipleItemSelectionAllowed="1" showAll="0" sortType="descending">
      <items count="5">
        <item x="3"/>
        <item x="0"/>
        <item x="1"/>
        <item x="2"/>
        <item t="default"/>
      </items>
    </pivotField>
    <pivotField axis="axisRow" multipleItemSelectionAllowed="1" showAll="0">
      <items count="15">
        <item x="11"/>
        <item x="10"/>
        <item x="0"/>
        <item x="12"/>
        <item x="7"/>
        <item x="8"/>
        <item x="3"/>
        <item x="1"/>
        <item x="2"/>
        <item x="4"/>
        <item x="5"/>
        <item x="6"/>
        <item x="9"/>
        <item x="13"/>
        <item t="default"/>
      </items>
    </pivotField>
    <pivotField showAll="0"/>
    <pivotField showAll="0"/>
  </pivotFields>
  <rowFields count="2">
    <field x="13"/>
    <field x="14"/>
  </rowFields>
  <rowItems count="20">
    <i>
      <x/>
    </i>
    <i r="1">
      <x v="13"/>
    </i>
    <i>
      <x v="1"/>
    </i>
    <i r="1">
      <x v="2"/>
    </i>
    <i>
      <x v="2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" fld="13" subtotal="count" baseField="0" baseItem="0"/>
    <dataField name="%" fld="13" subtotal="count" showDataAs="percentOfTotal" baseField="0" baseItem="0" numFmtId="10"/>
  </dataFields>
  <formats count="45">
    <format dxfId="238">
      <pivotArea type="all" dataOnly="0" outline="0" fieldPosition="0"/>
    </format>
    <format dxfId="237">
      <pivotArea outline="0" collapsedLevelsAreSubtotals="1" fieldPosition="0"/>
    </format>
    <format dxfId="236">
      <pivotArea field="13" type="button" dataOnly="0" labelOnly="1" outline="0" axis="axisRow" fieldPosition="0"/>
    </format>
    <format dxfId="235">
      <pivotArea dataOnly="0" labelOnly="1" grandRow="1" outline="0" fieldPosition="0"/>
    </format>
    <format dxfId="2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3">
      <pivotArea outline="0" collapsedLevelsAreSubtotals="1" fieldPosition="0"/>
    </format>
    <format dxfId="232">
      <pivotArea collapsedLevelsAreSubtotals="1" fieldPosition="0">
        <references count="1">
          <reference field="13" count="1">
            <x v="3"/>
          </reference>
        </references>
      </pivotArea>
    </format>
    <format dxfId="231">
      <pivotArea collapsedLevelsAreSubtotals="1" fieldPosition="0">
        <references count="2">
          <reference field="13" count="1" selected="0">
            <x v="3"/>
          </reference>
          <reference field="14" count="2">
            <x v="1"/>
            <x v="2"/>
          </reference>
        </references>
      </pivotArea>
    </format>
    <format dxfId="230">
      <pivotArea field="13" type="button" dataOnly="0" labelOnly="1" outline="0" axis="axisRow" fieldPosition="0"/>
    </format>
    <format dxfId="2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8">
      <pivotArea field="13" type="button" dataOnly="0" labelOnly="1" outline="0" axis="axisRow" fieldPosition="0"/>
    </format>
    <format dxfId="2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6">
      <pivotArea grandRow="1" outline="0" collapsedLevelsAreSubtotals="1" fieldPosition="0"/>
    </format>
    <format dxfId="225">
      <pivotArea dataOnly="0" labelOnly="1" grandRow="1" outline="0" fieldPosition="0"/>
    </format>
    <format dxfId="224">
      <pivotArea grandRow="1" outline="0" collapsedLevelsAreSubtotals="1" fieldPosition="0"/>
    </format>
    <format dxfId="223">
      <pivotArea dataOnly="0" labelOnly="1" grandRow="1" outline="0" fieldPosition="0"/>
    </format>
    <format dxfId="222">
      <pivotArea type="all" dataOnly="0" outline="0" fieldPosition="0"/>
    </format>
    <format dxfId="221">
      <pivotArea outline="0" collapsedLevelsAreSubtotals="1" fieldPosition="0"/>
    </format>
    <format dxfId="220">
      <pivotArea field="13" type="button" dataOnly="0" labelOnly="1" outline="0" axis="axisRow" fieldPosition="0"/>
    </format>
    <format dxfId="219">
      <pivotArea dataOnly="0" labelOnly="1" fieldPosition="0">
        <references count="1">
          <reference field="13" count="0"/>
        </references>
      </pivotArea>
    </format>
    <format dxfId="218">
      <pivotArea dataOnly="0" labelOnly="1" grandRow="1" outline="0" fieldPosition="0"/>
    </format>
    <format dxfId="217">
      <pivotArea dataOnly="0" labelOnly="1" fieldPosition="0">
        <references count="2">
          <reference field="13" count="1" selected="0">
            <x v="1"/>
          </reference>
          <reference field="14" count="1">
            <x v="2"/>
          </reference>
        </references>
      </pivotArea>
    </format>
    <format dxfId="216">
      <pivotArea dataOnly="0" labelOnly="1" fieldPosition="0">
        <references count="2">
          <reference field="13" count="1" selected="0">
            <x v="2"/>
          </reference>
          <reference field="14" count="5">
            <x v="0"/>
            <x v="4"/>
            <x v="5"/>
            <x v="6"/>
            <x v="7"/>
          </reference>
        </references>
      </pivotArea>
    </format>
    <format dxfId="2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4">
      <pivotArea collapsedLevelsAreSubtotals="1" fieldPosition="0">
        <references count="1">
          <reference field="13" count="1">
            <x v="1"/>
          </reference>
        </references>
      </pivotArea>
    </format>
    <format dxfId="213">
      <pivotArea collapsedLevelsAreSubtotals="1" fieldPosition="0">
        <references count="2">
          <reference field="13" count="1" selected="0">
            <x v="1"/>
          </reference>
          <reference field="14" count="1">
            <x v="2"/>
          </reference>
        </references>
      </pivotArea>
    </format>
    <format dxfId="212">
      <pivotArea collapsedLevelsAreSubtotals="1" fieldPosition="0">
        <references count="1">
          <reference field="13" count="1">
            <x v="2"/>
          </reference>
        </references>
      </pivotArea>
    </format>
    <format dxfId="211">
      <pivotArea collapsedLevelsAreSubtotals="1" fieldPosition="0">
        <references count="2">
          <reference field="13" count="1" selected="0">
            <x v="2"/>
          </reference>
          <reference field="14" count="2">
            <x v="0"/>
            <x v="5"/>
          </reference>
        </references>
      </pivotArea>
    </format>
    <format dxfId="210">
      <pivotArea collapsedLevelsAreSubtotals="1" fieldPosition="0">
        <references count="1">
          <reference field="13" count="1">
            <x v="3"/>
          </reference>
        </references>
      </pivotArea>
    </format>
    <format dxfId="209">
      <pivotArea collapsedLevelsAreSubtotals="1" fieldPosition="0">
        <references count="2">
          <reference field="13" count="1" selected="0">
            <x v="3"/>
          </reference>
          <reference field="14" count="2">
            <x v="1"/>
            <x v="2"/>
          </reference>
        </references>
      </pivotArea>
    </format>
    <format dxfId="208">
      <pivotArea field="13" type="button" dataOnly="0" labelOnly="1" outline="0" axis="axisRow" fieldPosition="0"/>
    </format>
    <format dxfId="207">
      <pivotArea dataOnly="0" labelOnly="1" fieldPosition="0">
        <references count="1">
          <reference field="13" count="0"/>
        </references>
      </pivotArea>
    </format>
    <format dxfId="206">
      <pivotArea dataOnly="0" labelOnly="1" fieldPosition="0">
        <references count="2">
          <reference field="13" count="1" selected="0">
            <x v="1"/>
          </reference>
          <reference field="14" count="1">
            <x v="2"/>
          </reference>
        </references>
      </pivotArea>
    </format>
    <format dxfId="205">
      <pivotArea dataOnly="0" labelOnly="1" fieldPosition="0">
        <references count="2">
          <reference field="13" count="1" selected="0">
            <x v="2"/>
          </reference>
          <reference field="14" count="2">
            <x v="0"/>
            <x v="5"/>
          </reference>
        </references>
      </pivotArea>
    </format>
    <format dxfId="204">
      <pivotArea dataOnly="0" labelOnly="1" fieldPosition="0">
        <references count="2">
          <reference field="13" count="1" selected="0">
            <x v="3"/>
          </reference>
          <reference field="14" count="2">
            <x v="1"/>
            <x v="2"/>
          </reference>
        </references>
      </pivotArea>
    </format>
    <format dxfId="2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13" type="button" dataOnly="0" labelOnly="1" outline="0" axis="axisRow" fieldPosition="0"/>
    </format>
    <format dxfId="199">
      <pivotArea dataOnly="0" labelOnly="1" fieldPosition="0">
        <references count="1">
          <reference field="13" count="0"/>
        </references>
      </pivotArea>
    </format>
    <format dxfId="198">
      <pivotArea dataOnly="0" labelOnly="1" grandRow="1" outline="0" fieldPosition="0"/>
    </format>
    <format dxfId="197">
      <pivotArea dataOnly="0" labelOnly="1" fieldPosition="0">
        <references count="2">
          <reference field="13" count="1" selected="0">
            <x v="1"/>
          </reference>
          <reference field="14" count="1">
            <x v="2"/>
          </reference>
        </references>
      </pivotArea>
    </format>
    <format dxfId="196">
      <pivotArea dataOnly="0" labelOnly="1" fieldPosition="0">
        <references count="2">
          <reference field="13" count="1" selected="0">
            <x v="2"/>
          </reference>
          <reference field="14" count="4">
            <x v="0"/>
            <x v="5"/>
            <x v="6"/>
            <x v="7"/>
          </reference>
        </references>
      </pivotArea>
    </format>
    <format dxfId="195">
      <pivotArea dataOnly="0" labelOnly="1" fieldPosition="0">
        <references count="2">
          <reference field="13" count="1" selected="0">
            <x v="3"/>
          </reference>
          <reference field="14" count="2">
            <x v="1"/>
            <x v="2"/>
          </reference>
        </references>
      </pivotArea>
    </format>
    <format dxfId="1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LUCHA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aDinámica11" cacheId="7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9" rowHeaderCaption="SUB MOTIVO LLAMADA (TRX)">
  <location ref="C33:E48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multipleItemSelectionAllowed="1" showAll="0">
      <items count="15">
        <item x="10"/>
        <item x="0"/>
        <item x="11"/>
        <item x="12"/>
        <item x="7"/>
        <item x="8"/>
        <item x="3"/>
        <item x="1"/>
        <item x="2"/>
        <item x="4"/>
        <item x="5"/>
        <item x="6"/>
        <item x="9"/>
        <item x="13"/>
        <item t="default"/>
      </items>
    </pivotField>
    <pivotField showAll="0"/>
    <pivotField showAll="0" defaultSubtotal="0"/>
  </pivotFields>
  <rowFields count="1">
    <field x="1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" fld="14" subtotal="count" baseField="0" baseItem="0"/>
    <dataField name="%" fld="14" subtotal="count" showDataAs="percentOfTotal" baseField="0" baseItem="0" numFmtId="10"/>
  </dataFields>
  <formats count="23"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14" type="button" dataOnly="0" labelOnly="1" outline="0" axis="axisRow" fieldPosition="0"/>
    </format>
    <format dxfId="141">
      <pivotArea dataOnly="0" labelOnly="1" fieldPosition="0">
        <references count="1">
          <reference field="14" count="0"/>
        </references>
      </pivotArea>
    </format>
    <format dxfId="140">
      <pivotArea dataOnly="0" labelOnly="1" grandRow="1" outline="0" fieldPosition="0"/>
    </format>
    <format dxfId="1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8">
      <pivotArea collapsedLevelsAreSubtotals="1" fieldPosition="0">
        <references count="1">
          <reference field="14" count="0"/>
        </references>
      </pivotArea>
    </format>
    <format dxfId="137">
      <pivotArea field="14" type="button" dataOnly="0" labelOnly="1" outline="0" axis="axisRow" fieldPosition="0"/>
    </format>
    <format dxfId="1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5">
      <pivotArea grandRow="1" outline="0" collapsedLevelsAreSubtotals="1" fieldPosition="0"/>
    </format>
    <format dxfId="134">
      <pivotArea dataOnly="0" labelOnly="1" grandRow="1" outline="0" fieldPosition="0"/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14" type="button" dataOnly="0" labelOnly="1" outline="0" axis="axisRow" fieldPosition="0"/>
    </format>
    <format dxfId="130">
      <pivotArea dataOnly="0" labelOnly="1" fieldPosition="0">
        <references count="1">
          <reference field="14" count="0"/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14" type="button" dataOnly="0" labelOnly="1" outline="0" axis="axisRow" fieldPosition="0"/>
    </format>
    <format dxfId="124">
      <pivotArea dataOnly="0" labelOnly="1" fieldPosition="0">
        <references count="1">
          <reference field="14" count="0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LUCHA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laDinámica10" cacheId="7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9" rowHeaderCaption="MOTIVO LLAMADA (TRX)">
  <location ref="C12:E17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multipleItemSelectionAllowed="1" showAll="0">
      <items count="5">
        <item x="2"/>
        <item x="1"/>
        <item x="0"/>
        <item x="3"/>
        <item t="default"/>
      </items>
    </pivotField>
    <pivotField showAll="0"/>
    <pivotField showAll="0"/>
    <pivotField showAll="0" defaultSubtota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" fld="13" subtotal="count" baseField="0" baseItem="0"/>
    <dataField name="%" fld="13" subtotal="count" showDataAs="percentOfTotal" baseField="0" baseItem="0" numFmtId="10"/>
  </dataFields>
  <formats count="23"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13" type="button" dataOnly="0" labelOnly="1" outline="0" axis="axisRow" fieldPosition="0"/>
    </format>
    <format dxfId="164">
      <pivotArea dataOnly="0" labelOnly="1" fieldPosition="0">
        <references count="1">
          <reference field="13" count="0"/>
        </references>
      </pivotArea>
    </format>
    <format dxfId="163">
      <pivotArea dataOnly="0" labelOnly="1" grandRow="1" outline="0" fieldPosition="0"/>
    </format>
    <format dxfId="1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1">
      <pivotArea grandRow="1" outline="0" collapsedLevelsAreSubtotals="1" fieldPosition="0"/>
    </format>
    <format dxfId="160">
      <pivotArea dataOnly="0" labelOnly="1" grandRow="1" outline="0" fieldPosition="0"/>
    </format>
    <format dxfId="159">
      <pivotArea field="13" type="button" dataOnly="0" labelOnly="1" outline="0" axis="axisRow" fieldPosition="0"/>
    </format>
    <format dxfId="1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7">
      <pivotArea collapsedLevelsAreSubtotals="1" fieldPosition="0">
        <references count="1">
          <reference field="13" count="0"/>
        </references>
      </pivotArea>
    </format>
    <format dxfId="156">
      <pivotArea type="all" dataOnly="0" outline="0" fieldPosition="0"/>
    </format>
    <format dxfId="155">
      <pivotArea outline="0" collapsedLevelsAreSubtotals="1" fieldPosition="0"/>
    </format>
    <format dxfId="154">
      <pivotArea field="13" type="button" dataOnly="0" labelOnly="1" outline="0" axis="axisRow" fieldPosition="0"/>
    </format>
    <format dxfId="153">
      <pivotArea dataOnly="0" labelOnly="1" fieldPosition="0">
        <references count="1">
          <reference field="13" count="0"/>
        </references>
      </pivotArea>
    </format>
    <format dxfId="152">
      <pivotArea dataOnly="0" labelOnly="1" grandRow="1" outline="0" fieldPosition="0"/>
    </format>
    <format dxfId="1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field="13" type="button" dataOnly="0" labelOnly="1" outline="0" axis="axisRow" fieldPosition="0"/>
    </format>
    <format dxfId="147">
      <pivotArea dataOnly="0" labelOnly="1" fieldPosition="0">
        <references count="1">
          <reference field="13" count="0"/>
        </references>
      </pivotArea>
    </format>
    <format dxfId="146">
      <pivotArea dataOnly="0" labelOnly="1" grandRow="1" outline="0" fieldPosition="0"/>
    </format>
    <format dxfId="1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8">
    <chartFormat chart="0" format="1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1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5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0" format="116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0" format="11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2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</chartFormats>
  <pivotTableStyleInfo name="LUCHA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laDinámica8" cacheId="81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8">
  <location ref="A7:C39" firstHeaderRow="0" firstDataRow="1" firstDataCol="1"/>
  <pivotFields count="9">
    <pivotField axis="axisRow" numFmtId="164" showAll="0">
      <items count="216">
        <item m="1" x="192"/>
        <item m="1" x="145"/>
        <item m="1" x="99"/>
        <item m="1" x="52"/>
        <item m="1" x="188"/>
        <item m="1" x="141"/>
        <item m="1" x="95"/>
        <item m="1" x="48"/>
        <item m="1" x="184"/>
        <item m="1" x="137"/>
        <item m="1" x="91"/>
        <item m="1" x="44"/>
        <item m="1" x="180"/>
        <item m="1" x="134"/>
        <item m="1" x="88"/>
        <item m="1" x="41"/>
        <item m="1" x="177"/>
        <item m="1" x="130"/>
        <item m="1" x="84"/>
        <item m="1" x="37"/>
        <item m="1" x="173"/>
        <item m="1" x="126"/>
        <item m="1" x="80"/>
        <item m="1" x="33"/>
        <item m="1" x="169"/>
        <item m="1" x="122"/>
        <item m="1" x="76"/>
        <item m="1" x="213"/>
        <item m="1" x="165"/>
        <item m="1" x="119"/>
        <item m="1" x="69"/>
        <item m="1" x="206"/>
        <item m="1" x="158"/>
        <item m="1" x="113"/>
        <item m="1" x="66"/>
        <item m="1" x="203"/>
        <item m="1" x="155"/>
        <item m="1" x="110"/>
        <item m="1" x="63"/>
        <item m="1" x="200"/>
        <item m="1" x="152"/>
        <item m="1" x="107"/>
        <item m="1" x="60"/>
        <item m="1" x="197"/>
        <item m="1" x="150"/>
        <item m="1" x="105"/>
        <item m="1" x="58"/>
        <item m="1" x="195"/>
        <item m="1" x="148"/>
        <item m="1" x="102"/>
        <item m="1" x="55"/>
        <item m="1" x="191"/>
        <item m="1" x="144"/>
        <item m="1" x="97"/>
        <item m="1" x="50"/>
        <item m="1" x="186"/>
        <item m="1" x="139"/>
        <item m="1" x="93"/>
        <item m="1" x="46"/>
        <item m="1" x="182"/>
        <item m="1" x="103"/>
        <item m="1" x="56"/>
        <item m="1" x="193"/>
        <item m="1" x="146"/>
        <item m="1" x="100"/>
        <item m="1" x="53"/>
        <item m="1" x="189"/>
        <item m="1" x="142"/>
        <item m="1" x="96"/>
        <item m="1" x="49"/>
        <item m="1" x="185"/>
        <item m="1" x="138"/>
        <item m="1" x="92"/>
        <item m="1" x="45"/>
        <item m="1" x="181"/>
        <item m="1" x="135"/>
        <item m="1" x="89"/>
        <item m="1" x="42"/>
        <item m="1" x="178"/>
        <item m="1" x="131"/>
        <item m="1" x="85"/>
        <item m="1" x="38"/>
        <item m="1" x="174"/>
        <item m="1" x="127"/>
        <item m="1" x="81"/>
        <item m="1" x="34"/>
        <item m="1" x="170"/>
        <item m="1" x="123"/>
        <item m="1" x="77"/>
        <item m="1" x="214"/>
        <item m="1" x="166"/>
        <item m="1" x="132"/>
        <item m="1" x="86"/>
        <item m="1" x="39"/>
        <item m="1" x="175"/>
        <item m="1" x="128"/>
        <item m="1" x="82"/>
        <item m="1" x="35"/>
        <item m="1" x="171"/>
        <item m="1" x="124"/>
        <item m="1" x="78"/>
        <item m="1" x="31"/>
        <item m="1" x="167"/>
        <item m="1" x="120"/>
        <item m="1" x="74"/>
        <item m="1" x="211"/>
        <item m="1" x="163"/>
        <item m="1" x="117"/>
        <item m="1" x="71"/>
        <item m="1" x="208"/>
        <item m="1" x="160"/>
        <item m="1" x="115"/>
        <item m="1" x="68"/>
        <item m="1" x="205"/>
        <item m="1" x="157"/>
        <item m="1" x="112"/>
        <item m="1" x="65"/>
        <item m="1" x="202"/>
        <item m="1" x="154"/>
        <item m="1" x="109"/>
        <item m="1" x="62"/>
        <item m="1" x="199"/>
        <item m="1" x="73"/>
        <item m="1" x="210"/>
        <item m="1" x="162"/>
        <item m="1" x="116"/>
        <item m="1" x="70"/>
        <item m="1" x="207"/>
        <item m="1" x="159"/>
        <item m="1" x="114"/>
        <item m="1" x="67"/>
        <item m="1" x="204"/>
        <item m="1" x="156"/>
        <item m="1" x="111"/>
        <item m="1" x="64"/>
        <item m="1" x="201"/>
        <item m="1" x="153"/>
        <item m="1" x="108"/>
        <item m="1" x="61"/>
        <item m="1" x="198"/>
        <item m="1" x="151"/>
        <item m="1" x="106"/>
        <item m="1" x="59"/>
        <item m="1" x="196"/>
        <item m="1" x="149"/>
        <item m="1" x="104"/>
        <item m="1" x="57"/>
        <item m="1" x="194"/>
        <item m="1" x="147"/>
        <item m="1" x="101"/>
        <item m="1" x="54"/>
        <item m="1" x="190"/>
        <item m="1" x="143"/>
        <item m="1" x="98"/>
        <item m="1" x="51"/>
        <item m="1" x="187"/>
        <item m="1" x="140"/>
        <item m="1" x="94"/>
        <item m="1" x="47"/>
        <item m="1" x="183"/>
        <item m="1" x="136"/>
        <item m="1" x="90"/>
        <item m="1" x="43"/>
        <item m="1" x="179"/>
        <item m="1" x="133"/>
        <item m="1" x="87"/>
        <item m="1" x="40"/>
        <item m="1" x="176"/>
        <item m="1" x="129"/>
        <item m="1" x="83"/>
        <item m="1" x="36"/>
        <item m="1" x="172"/>
        <item m="1" x="125"/>
        <item m="1" x="79"/>
        <item m="1" x="32"/>
        <item m="1" x="168"/>
        <item m="1" x="121"/>
        <item m="1" x="75"/>
        <item m="1" x="212"/>
        <item m="1" x="164"/>
        <item m="1" x="118"/>
        <item m="1" x="72"/>
        <item m="1" x="209"/>
        <item m="1" x="1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showAll="0"/>
    <pivotField showAll="0"/>
    <pivotField numFmtId="49" showAll="0" defaultSubtotal="0"/>
    <pivotField showAll="0"/>
    <pivotField numFmtId="49" showAll="0"/>
    <pivotField dataField="1" showAll="0"/>
    <pivotField showAll="0" defaultSubtotal="0"/>
    <pivotField showAll="0" defaultSubtotal="0"/>
  </pivotFields>
  <rowFields count="1">
    <field x="0"/>
  </rowFields>
  <rowItems count="32"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 t="grand">
      <x/>
    </i>
  </rowItems>
  <colFields count="1">
    <field x="-2"/>
  </colFields>
  <colItems count="2">
    <i>
      <x/>
    </i>
    <i i="1">
      <x v="1"/>
    </i>
  </colItems>
  <dataFields count="2">
    <dataField name="Número de Llamadas entrantes" fld="1" baseField="0" baseItem="0"/>
    <dataField name="Número de Llamadas Abandonadas" fld="6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3:M18"/>
  <sheetViews>
    <sheetView showGridLines="0" showRowColHeaders="0" tabSelected="1" zoomScaleNormal="100" workbookViewId="0">
      <selection activeCell="B13" sqref="B13"/>
    </sheetView>
  </sheetViews>
  <sheetFormatPr baseColWidth="10" defaultColWidth="0" defaultRowHeight="15" x14ac:dyDescent="0.25"/>
  <cols>
    <col min="1" max="4" width="11.42578125" style="1" customWidth="1"/>
    <col min="5" max="5" width="35.140625" style="1" bestFit="1" customWidth="1"/>
    <col min="6" max="6" width="3.140625" style="1" customWidth="1"/>
    <col min="7" max="7" width="4.85546875" style="1" customWidth="1"/>
    <col min="8" max="9" width="11.42578125" style="1" customWidth="1"/>
    <col min="10" max="10" width="14.42578125" style="1" customWidth="1"/>
    <col min="11" max="13" width="11.42578125" style="1" customWidth="1"/>
    <col min="14" max="16384" width="11.42578125" style="1" hidden="1"/>
  </cols>
  <sheetData>
    <row r="3" spans="4:10" ht="15.75" thickBot="1" x14ac:dyDescent="0.3"/>
    <row r="4" spans="4:10" ht="20.45" customHeight="1" x14ac:dyDescent="0.25">
      <c r="D4" s="75" t="s">
        <v>42</v>
      </c>
      <c r="E4" s="76"/>
      <c r="F4" s="76"/>
      <c r="G4" s="76"/>
      <c r="H4" s="76"/>
      <c r="I4" s="76"/>
      <c r="J4" s="77"/>
    </row>
    <row r="5" spans="4:10" ht="14.45" customHeight="1" x14ac:dyDescent="0.25">
      <c r="D5" s="78"/>
      <c r="E5" s="79"/>
      <c r="F5" s="79"/>
      <c r="G5" s="79"/>
      <c r="H5" s="79"/>
      <c r="I5" s="79"/>
      <c r="J5" s="80"/>
    </row>
    <row r="6" spans="4:10" ht="15" customHeight="1" thickBot="1" x14ac:dyDescent="0.3">
      <c r="D6" s="81"/>
      <c r="E6" s="82"/>
      <c r="F6" s="82"/>
      <c r="G6" s="82"/>
      <c r="H6" s="82"/>
      <c r="I6" s="82"/>
      <c r="J6" s="83"/>
    </row>
    <row r="8" spans="4:10" ht="15.75" thickBot="1" x14ac:dyDescent="0.3"/>
    <row r="9" spans="4:10" ht="20.25" x14ac:dyDescent="0.3">
      <c r="D9" s="84" t="s">
        <v>1</v>
      </c>
      <c r="E9" s="85"/>
      <c r="F9" s="85"/>
      <c r="G9" s="85"/>
      <c r="H9" s="85"/>
      <c r="I9" s="85"/>
      <c r="J9" s="86"/>
    </row>
    <row r="10" spans="4:10" ht="18.75" customHeight="1" x14ac:dyDescent="0.3">
      <c r="D10" s="64" t="s">
        <v>43</v>
      </c>
      <c r="E10" s="64"/>
      <c r="F10" s="64"/>
      <c r="G10" s="64"/>
      <c r="H10" s="87" t="s">
        <v>14</v>
      </c>
      <c r="I10" s="87"/>
      <c r="J10" s="87"/>
    </row>
    <row r="11" spans="4:10" ht="18.75" x14ac:dyDescent="0.3">
      <c r="D11" s="64" t="s">
        <v>68</v>
      </c>
      <c r="E11" s="64"/>
      <c r="F11" s="64"/>
      <c r="G11" s="64"/>
      <c r="H11" s="87" t="s">
        <v>55</v>
      </c>
      <c r="I11" s="87"/>
      <c r="J11" s="87"/>
    </row>
    <row r="12" spans="4:10" ht="18.75" customHeight="1" x14ac:dyDescent="0.3">
      <c r="D12" s="64" t="s">
        <v>15</v>
      </c>
      <c r="E12" s="64"/>
      <c r="F12" s="64"/>
      <c r="G12" s="64"/>
      <c r="H12" s="65">
        <f>MIN('REPORTE GERENCIAL'!C:C)</f>
        <v>46082</v>
      </c>
      <c r="I12" s="65"/>
      <c r="J12" s="65"/>
    </row>
    <row r="13" spans="4:10" ht="18.75" x14ac:dyDescent="0.3">
      <c r="D13" s="64" t="s">
        <v>16</v>
      </c>
      <c r="E13" s="64"/>
      <c r="F13" s="64"/>
      <c r="G13" s="64"/>
      <c r="H13" s="65">
        <f>MAX('REPORTE GERENCIAL'!C:C)</f>
        <v>46112</v>
      </c>
      <c r="I13" s="65"/>
      <c r="J13" s="65"/>
    </row>
    <row r="14" spans="4:10" ht="15" customHeight="1" x14ac:dyDescent="0.25"/>
    <row r="15" spans="4:10" ht="15.75" thickBot="1" x14ac:dyDescent="0.3"/>
    <row r="16" spans="4:10" ht="27" customHeight="1" x14ac:dyDescent="0.25">
      <c r="E16" s="66" t="s">
        <v>2</v>
      </c>
      <c r="F16" s="67"/>
      <c r="G16" s="67"/>
      <c r="H16" s="67"/>
      <c r="I16" s="68"/>
      <c r="J16" s="26"/>
    </row>
    <row r="17" spans="5:10" ht="26.25" customHeight="1" x14ac:dyDescent="0.25">
      <c r="E17" s="69" t="s">
        <v>48</v>
      </c>
      <c r="F17" s="70"/>
      <c r="G17" s="70"/>
      <c r="H17" s="70"/>
      <c r="I17" s="71"/>
      <c r="J17" s="27"/>
    </row>
    <row r="18" spans="5:10" ht="26.25" customHeight="1" thickBot="1" x14ac:dyDescent="0.3">
      <c r="E18" s="72" t="s">
        <v>60</v>
      </c>
      <c r="F18" s="73"/>
      <c r="G18" s="73"/>
      <c r="H18" s="73"/>
      <c r="I18" s="74"/>
      <c r="J18" s="27"/>
    </row>
  </sheetData>
  <mergeCells count="13">
    <mergeCell ref="D4:J6"/>
    <mergeCell ref="D9:J9"/>
    <mergeCell ref="H10:J10"/>
    <mergeCell ref="H11:J11"/>
    <mergeCell ref="H12:J12"/>
    <mergeCell ref="D10:G10"/>
    <mergeCell ref="D11:G11"/>
    <mergeCell ref="D12:G12"/>
    <mergeCell ref="D13:G13"/>
    <mergeCell ref="H13:J13"/>
    <mergeCell ref="E16:I16"/>
    <mergeCell ref="E17:I17"/>
    <mergeCell ref="E18:I1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2:P51"/>
  <sheetViews>
    <sheetView showGridLines="0" showRowColHeaders="0" zoomScale="80" zoomScaleNormal="80" workbookViewId="0">
      <selection activeCell="F20" sqref="F20"/>
    </sheetView>
  </sheetViews>
  <sheetFormatPr baseColWidth="10" defaultColWidth="0" defaultRowHeight="15" x14ac:dyDescent="0.25"/>
  <cols>
    <col min="1" max="1" width="9.7109375" style="1" customWidth="1"/>
    <col min="2" max="2" width="21.85546875" style="1" customWidth="1"/>
    <col min="3" max="3" width="17.140625" style="1" customWidth="1"/>
    <col min="4" max="4" width="13.7109375" style="1" customWidth="1"/>
    <col min="5" max="9" width="15.5703125" style="1" customWidth="1"/>
    <col min="10" max="11" width="22.28515625" style="1" customWidth="1"/>
    <col min="12" max="13" width="10.42578125" style="1" customWidth="1"/>
    <col min="14" max="14" width="11.42578125" style="1" customWidth="1"/>
    <col min="15" max="16" width="11.85546875" style="1" hidden="1" customWidth="1"/>
    <col min="17" max="16384" width="11.42578125" style="1" hidden="1"/>
  </cols>
  <sheetData>
    <row r="2" spans="1:11" ht="15.75" thickBot="1" x14ac:dyDescent="0.3">
      <c r="B2" s="2"/>
      <c r="C2" s="2"/>
    </row>
    <row r="3" spans="1:11" ht="15" customHeight="1" x14ac:dyDescent="0.25">
      <c r="A3" s="3"/>
      <c r="D3" s="92" t="str">
        <f>+PORTADA!D4</f>
        <v>INFORME GESTIÓN INBOUND</v>
      </c>
      <c r="E3" s="93"/>
      <c r="F3" s="93"/>
      <c r="G3" s="93"/>
      <c r="H3" s="93"/>
      <c r="I3" s="93"/>
      <c r="J3" s="93"/>
    </row>
    <row r="4" spans="1:11" ht="15.75" customHeight="1" x14ac:dyDescent="0.25">
      <c r="A4" s="4"/>
      <c r="D4" s="94"/>
      <c r="E4" s="95"/>
      <c r="F4" s="95"/>
      <c r="G4" s="95"/>
      <c r="H4" s="95"/>
      <c r="I4" s="95"/>
      <c r="J4" s="95"/>
    </row>
    <row r="5" spans="1:11" x14ac:dyDescent="0.25">
      <c r="A5" s="4"/>
      <c r="E5" s="5"/>
      <c r="F5" s="5"/>
      <c r="G5" s="5"/>
      <c r="H5" s="5"/>
      <c r="I5" s="5"/>
    </row>
    <row r="6" spans="1:11" ht="15.75" customHeight="1" x14ac:dyDescent="0.25">
      <c r="A6" s="4"/>
      <c r="D6" s="88" t="s">
        <v>45</v>
      </c>
      <c r="E6" s="88"/>
      <c r="F6" s="88"/>
      <c r="G6" s="96" t="s">
        <v>54</v>
      </c>
      <c r="H6" s="96"/>
      <c r="I6" s="96"/>
      <c r="J6" s="96"/>
    </row>
    <row r="7" spans="1:11" ht="16.5" customHeight="1" x14ac:dyDescent="0.25">
      <c r="D7" s="88" t="s">
        <v>44</v>
      </c>
      <c r="E7" s="88"/>
      <c r="F7" s="88"/>
      <c r="G7" s="96" t="s">
        <v>55</v>
      </c>
      <c r="H7" s="96"/>
      <c r="I7" s="96"/>
      <c r="J7" s="96"/>
    </row>
    <row r="8" spans="1:11" ht="15.75" x14ac:dyDescent="0.25">
      <c r="D8" s="88" t="s">
        <v>15</v>
      </c>
      <c r="E8" s="88"/>
      <c r="F8" s="88"/>
      <c r="G8" s="97">
        <f>+MIN(C14:C44)</f>
        <v>46082</v>
      </c>
      <c r="H8" s="97"/>
      <c r="I8" s="97"/>
      <c r="J8" s="97"/>
    </row>
    <row r="9" spans="1:11" ht="15.75" x14ac:dyDescent="0.25">
      <c r="D9" s="88" t="s">
        <v>16</v>
      </c>
      <c r="E9" s="88"/>
      <c r="F9" s="88"/>
      <c r="G9" s="97">
        <f>+MAX(C15:C45)</f>
        <v>46112</v>
      </c>
      <c r="H9" s="97"/>
      <c r="I9" s="97"/>
      <c r="J9" s="97"/>
    </row>
    <row r="10" spans="1:11" ht="15.75" x14ac:dyDescent="0.25">
      <c r="D10" s="6"/>
      <c r="E10" s="7"/>
      <c r="F10" s="7"/>
      <c r="G10" s="7"/>
      <c r="H10" s="7"/>
      <c r="I10" s="7"/>
      <c r="J10" s="8"/>
    </row>
    <row r="11" spans="1:11" ht="21" customHeight="1" thickBot="1" x14ac:dyDescent="0.3"/>
    <row r="12" spans="1:11" ht="18.75" thickBot="1" x14ac:dyDescent="0.3">
      <c r="C12" s="89" t="s">
        <v>35</v>
      </c>
      <c r="D12" s="90"/>
      <c r="E12" s="90"/>
      <c r="F12" s="90"/>
      <c r="G12" s="90"/>
      <c r="H12" s="90"/>
      <c r="I12" s="90"/>
      <c r="J12" s="90"/>
      <c r="K12" s="91"/>
    </row>
    <row r="13" spans="1:11" ht="31.5" x14ac:dyDescent="0.25">
      <c r="C13" s="35" t="s">
        <v>46</v>
      </c>
      <c r="D13" s="35" t="s">
        <v>3</v>
      </c>
      <c r="E13" s="35" t="s">
        <v>50</v>
      </c>
      <c r="F13" s="35" t="s">
        <v>71</v>
      </c>
      <c r="G13" s="35" t="s">
        <v>52</v>
      </c>
      <c r="H13" s="35" t="s">
        <v>51</v>
      </c>
      <c r="I13" s="35" t="s">
        <v>53</v>
      </c>
      <c r="J13" s="35" t="s">
        <v>4</v>
      </c>
      <c r="K13" s="36" t="s">
        <v>21</v>
      </c>
    </row>
    <row r="14" spans="1:11" x14ac:dyDescent="0.25">
      <c r="C14" s="40">
        <v>46082</v>
      </c>
      <c r="D14" s="41">
        <v>0</v>
      </c>
      <c r="E14" s="41">
        <v>0</v>
      </c>
      <c r="F14" s="42">
        <v>0</v>
      </c>
      <c r="G14" s="48">
        <f>+COUNTIFS(TRX!B:B,C14,TRX!F:F,"Recuperada")</f>
        <v>0</v>
      </c>
      <c r="H14" s="48">
        <f>+COUNTIFS(TRX!B:B,C14,TRX!F:F,"Seguimiento")</f>
        <v>0</v>
      </c>
      <c r="I14" s="41">
        <v>0</v>
      </c>
      <c r="J14" s="43" t="s">
        <v>79</v>
      </c>
      <c r="K14" s="44" t="s">
        <v>79</v>
      </c>
    </row>
    <row r="15" spans="1:11" x14ac:dyDescent="0.25">
      <c r="C15" s="40">
        <v>46083</v>
      </c>
      <c r="D15" s="41">
        <v>1</v>
      </c>
      <c r="E15" s="41">
        <v>1</v>
      </c>
      <c r="F15" s="42">
        <v>0</v>
      </c>
      <c r="G15" s="48">
        <f>+COUNTIFS(TRX!B:B,C15,TRX!F:F,"Recuperada")</f>
        <v>1</v>
      </c>
      <c r="H15" s="48">
        <f>+COUNTIFS(TRX!B:B,C15,TRX!F:F,"Seguimiento")</f>
        <v>0</v>
      </c>
      <c r="I15" s="41">
        <v>0</v>
      </c>
      <c r="J15" s="43" t="s">
        <v>78</v>
      </c>
      <c r="K15" s="44" t="s">
        <v>79</v>
      </c>
    </row>
    <row r="16" spans="1:11" x14ac:dyDescent="0.25">
      <c r="C16" s="40">
        <v>46084</v>
      </c>
      <c r="D16" s="41">
        <v>1</v>
      </c>
      <c r="E16" s="41">
        <v>1</v>
      </c>
      <c r="F16" s="42">
        <v>0</v>
      </c>
      <c r="G16" s="48">
        <f>+COUNTIFS(TRX!B:B,C16,TRX!F:F,"Recuperada")</f>
        <v>0</v>
      </c>
      <c r="H16" s="48">
        <f>+COUNTIFS(TRX!B:B,C16,TRX!F:F,"Seguimiento")</f>
        <v>0</v>
      </c>
      <c r="I16" s="41">
        <v>0</v>
      </c>
      <c r="J16" s="43" t="s">
        <v>78</v>
      </c>
      <c r="K16" s="44" t="s">
        <v>79</v>
      </c>
    </row>
    <row r="17" spans="3:11" x14ac:dyDescent="0.25">
      <c r="C17" s="40">
        <v>46085</v>
      </c>
      <c r="D17" s="41">
        <v>0</v>
      </c>
      <c r="E17" s="41">
        <v>0</v>
      </c>
      <c r="F17" s="42">
        <v>0</v>
      </c>
      <c r="G17" s="48">
        <f>+COUNTIFS(TRX!B:B,C17,TRX!F:F,"Recuperada")</f>
        <v>0</v>
      </c>
      <c r="H17" s="48">
        <f>+COUNTIFS(TRX!B:B,C17,TRX!F:F,"Seguimiento")</f>
        <v>0</v>
      </c>
      <c r="I17" s="41">
        <v>0</v>
      </c>
      <c r="J17" s="43" t="s">
        <v>79</v>
      </c>
      <c r="K17" s="44" t="s">
        <v>79</v>
      </c>
    </row>
    <row r="18" spans="3:11" x14ac:dyDescent="0.25">
      <c r="C18" s="40">
        <v>46086</v>
      </c>
      <c r="D18" s="41">
        <v>0</v>
      </c>
      <c r="E18" s="41">
        <v>0</v>
      </c>
      <c r="F18" s="42">
        <v>0</v>
      </c>
      <c r="G18" s="48">
        <f>+COUNTIFS(TRX!B:B,C18,TRX!F:F,"Recuperada")</f>
        <v>0</v>
      </c>
      <c r="H18" s="48">
        <f>+COUNTIFS(TRX!B:B,C18,TRX!F:F,"Seguimiento")</f>
        <v>0</v>
      </c>
      <c r="I18" s="41">
        <v>0</v>
      </c>
      <c r="J18" s="43" t="s">
        <v>79</v>
      </c>
      <c r="K18" s="44" t="s">
        <v>79</v>
      </c>
    </row>
    <row r="19" spans="3:11" x14ac:dyDescent="0.25">
      <c r="C19" s="40">
        <v>46087</v>
      </c>
      <c r="D19" s="41">
        <v>2</v>
      </c>
      <c r="E19" s="41">
        <v>2</v>
      </c>
      <c r="F19" s="42">
        <v>0</v>
      </c>
      <c r="G19" s="48">
        <f>+COUNTIFS(TRX!B:B,C19,TRX!F:F,"Recuperada")</f>
        <v>0</v>
      </c>
      <c r="H19" s="48">
        <f>+COUNTIFS(TRX!B:B,C19,TRX!F:F,"Seguimiento")</f>
        <v>0</v>
      </c>
      <c r="I19" s="41">
        <v>0</v>
      </c>
      <c r="J19" s="43" t="s">
        <v>78</v>
      </c>
      <c r="K19" s="44" t="s">
        <v>79</v>
      </c>
    </row>
    <row r="20" spans="3:11" x14ac:dyDescent="0.25">
      <c r="C20" s="40">
        <v>46088</v>
      </c>
      <c r="D20" s="41">
        <v>1</v>
      </c>
      <c r="E20" s="41">
        <v>1</v>
      </c>
      <c r="F20" s="42">
        <v>0</v>
      </c>
      <c r="G20" s="48">
        <f>+COUNTIFS(TRX!B:B,C20,TRX!F:F,"Recuperada")</f>
        <v>0</v>
      </c>
      <c r="H20" s="48">
        <f>+COUNTIFS(TRX!B:B,C20,TRX!F:F,"Seguimiento")</f>
        <v>0</v>
      </c>
      <c r="I20" s="41">
        <v>0</v>
      </c>
      <c r="J20" s="43" t="s">
        <v>78</v>
      </c>
      <c r="K20" s="44" t="s">
        <v>79</v>
      </c>
    </row>
    <row r="21" spans="3:11" x14ac:dyDescent="0.25">
      <c r="C21" s="40">
        <v>46089</v>
      </c>
      <c r="D21" s="41">
        <v>0</v>
      </c>
      <c r="E21" s="41">
        <v>0</v>
      </c>
      <c r="F21" s="42">
        <v>0</v>
      </c>
      <c r="G21" s="48">
        <f>+COUNTIFS(TRX!B:B,C21,TRX!F:F,"Recuperada")</f>
        <v>0</v>
      </c>
      <c r="H21" s="48">
        <f>+COUNTIFS(TRX!B:B,C21,TRX!F:F,"Seguimiento")</f>
        <v>0</v>
      </c>
      <c r="I21" s="41">
        <v>0</v>
      </c>
      <c r="J21" s="43" t="s">
        <v>79</v>
      </c>
      <c r="K21" s="44" t="s">
        <v>79</v>
      </c>
    </row>
    <row r="22" spans="3:11" x14ac:dyDescent="0.25">
      <c r="C22" s="40">
        <v>46090</v>
      </c>
      <c r="D22" s="41">
        <v>0</v>
      </c>
      <c r="E22" s="41">
        <v>0</v>
      </c>
      <c r="F22" s="42">
        <v>0</v>
      </c>
      <c r="G22" s="48">
        <f>+COUNTIFS(TRX!B:B,C22,TRX!F:F,"Recuperada")</f>
        <v>0</v>
      </c>
      <c r="H22" s="48">
        <f>+COUNTIFS(TRX!B:B,C22,TRX!F:F,"Seguimiento")</f>
        <v>0</v>
      </c>
      <c r="I22" s="41">
        <v>0</v>
      </c>
      <c r="J22" s="43" t="s">
        <v>79</v>
      </c>
      <c r="K22" s="44" t="s">
        <v>79</v>
      </c>
    </row>
    <row r="23" spans="3:11" x14ac:dyDescent="0.25">
      <c r="C23" s="40">
        <v>46091</v>
      </c>
      <c r="D23" s="41">
        <v>2</v>
      </c>
      <c r="E23" s="41">
        <v>2</v>
      </c>
      <c r="F23" s="42">
        <v>0</v>
      </c>
      <c r="G23" s="48">
        <f>+COUNTIFS(TRX!B:B,C23,TRX!F:F,"Recuperada")</f>
        <v>0</v>
      </c>
      <c r="H23" s="48">
        <f>+COUNTIFS(TRX!B:B,C23,TRX!F:F,"Seguimiento")</f>
        <v>0</v>
      </c>
      <c r="I23" s="41">
        <v>0</v>
      </c>
      <c r="J23" s="43" t="s">
        <v>78</v>
      </c>
      <c r="K23" s="44" t="s">
        <v>79</v>
      </c>
    </row>
    <row r="24" spans="3:11" x14ac:dyDescent="0.25">
      <c r="C24" s="40">
        <v>46092</v>
      </c>
      <c r="D24" s="41">
        <v>1</v>
      </c>
      <c r="E24" s="41">
        <v>1</v>
      </c>
      <c r="F24" s="42">
        <v>0</v>
      </c>
      <c r="G24" s="48">
        <f>+COUNTIFS(TRX!B:B,C24,TRX!F:F,"Recuperada")</f>
        <v>0</v>
      </c>
      <c r="H24" s="48">
        <f>+COUNTIFS(TRX!B:B,C24,TRX!F:F,"Seguimiento")</f>
        <v>0</v>
      </c>
      <c r="I24" s="41">
        <v>0</v>
      </c>
      <c r="J24" s="43" t="s">
        <v>78</v>
      </c>
      <c r="K24" s="44" t="s">
        <v>79</v>
      </c>
    </row>
    <row r="25" spans="3:11" x14ac:dyDescent="0.25">
      <c r="C25" s="40">
        <v>46093</v>
      </c>
      <c r="D25" s="41">
        <v>2</v>
      </c>
      <c r="E25" s="41">
        <v>2</v>
      </c>
      <c r="F25" s="42">
        <v>0</v>
      </c>
      <c r="G25" s="48">
        <f>+COUNTIFS(TRX!B:B,C25,TRX!F:F,"Recuperada")</f>
        <v>0</v>
      </c>
      <c r="H25" s="48">
        <f>+COUNTIFS(TRX!B:B,C25,TRX!F:F,"Seguimiento")</f>
        <v>0</v>
      </c>
      <c r="I25" s="41">
        <v>0</v>
      </c>
      <c r="J25" s="43" t="s">
        <v>78</v>
      </c>
      <c r="K25" s="44" t="s">
        <v>79</v>
      </c>
    </row>
    <row r="26" spans="3:11" x14ac:dyDescent="0.25">
      <c r="C26" s="40">
        <v>46094</v>
      </c>
      <c r="D26" s="41">
        <v>2</v>
      </c>
      <c r="E26" s="41">
        <v>2</v>
      </c>
      <c r="F26" s="42">
        <v>0</v>
      </c>
      <c r="G26" s="48">
        <f>+COUNTIFS(TRX!B:B,C26,TRX!F:F,"Recuperada")</f>
        <v>0</v>
      </c>
      <c r="H26" s="48">
        <f>+COUNTIFS(TRX!B:B,C26,TRX!F:F,"Seguimiento")</f>
        <v>0</v>
      </c>
      <c r="I26" s="41">
        <v>0</v>
      </c>
      <c r="J26" s="43" t="s">
        <v>78</v>
      </c>
      <c r="K26" s="44" t="s">
        <v>79</v>
      </c>
    </row>
    <row r="27" spans="3:11" x14ac:dyDescent="0.25">
      <c r="C27" s="40">
        <v>46095</v>
      </c>
      <c r="D27" s="41">
        <v>1</v>
      </c>
      <c r="E27" s="41">
        <v>1</v>
      </c>
      <c r="F27" s="42">
        <v>0</v>
      </c>
      <c r="G27" s="48">
        <f>+COUNTIFS(TRX!B:B,C27,TRX!F:F,"Recuperada")</f>
        <v>0</v>
      </c>
      <c r="H27" s="48">
        <f>+COUNTIFS(TRX!B:B,C27,TRX!F:F,"Seguimiento")</f>
        <v>0</v>
      </c>
      <c r="I27" s="41">
        <v>0</v>
      </c>
      <c r="J27" s="43" t="s">
        <v>78</v>
      </c>
      <c r="K27" s="44" t="s">
        <v>79</v>
      </c>
    </row>
    <row r="28" spans="3:11" x14ac:dyDescent="0.25">
      <c r="C28" s="40">
        <v>46096</v>
      </c>
      <c r="D28" s="41">
        <v>1</v>
      </c>
      <c r="E28" s="41">
        <v>1</v>
      </c>
      <c r="F28" s="42">
        <v>0</v>
      </c>
      <c r="G28" s="48">
        <f>+COUNTIFS(TRX!B:B,C28,TRX!F:F,"Recuperada")</f>
        <v>0</v>
      </c>
      <c r="H28" s="48">
        <f>+COUNTIFS(TRX!B:B,C28,TRX!F:F,"Seguimiento")</f>
        <v>0</v>
      </c>
      <c r="I28" s="41">
        <v>0</v>
      </c>
      <c r="J28" s="43" t="s">
        <v>78</v>
      </c>
      <c r="K28" s="44" t="s">
        <v>79</v>
      </c>
    </row>
    <row r="29" spans="3:11" x14ac:dyDescent="0.25">
      <c r="C29" s="40">
        <v>46097</v>
      </c>
      <c r="D29" s="41">
        <v>2</v>
      </c>
      <c r="E29" s="41">
        <v>2</v>
      </c>
      <c r="F29" s="42">
        <v>1</v>
      </c>
      <c r="G29" s="48">
        <f>+COUNTIFS(TRX!B:B,C29,TRX!F:F,"Recuperada")</f>
        <v>0</v>
      </c>
      <c r="H29" s="48">
        <f>+COUNTIFS(TRX!B:B,C29,TRX!F:F,"Seguimiento")</f>
        <v>0</v>
      </c>
      <c r="I29" s="41">
        <v>0</v>
      </c>
      <c r="J29" s="43" t="s">
        <v>78</v>
      </c>
      <c r="K29" s="44" t="s">
        <v>79</v>
      </c>
    </row>
    <row r="30" spans="3:11" x14ac:dyDescent="0.25">
      <c r="C30" s="40">
        <v>46098</v>
      </c>
      <c r="D30" s="41">
        <v>0</v>
      </c>
      <c r="E30" s="41">
        <v>0</v>
      </c>
      <c r="F30" s="42">
        <v>0</v>
      </c>
      <c r="G30" s="48">
        <f>+COUNTIFS(TRX!B:B,C30,TRX!F:F,"Recuperada")</f>
        <v>0</v>
      </c>
      <c r="H30" s="48">
        <f>+COUNTIFS(TRX!B:B,C30,TRX!F:F,"Seguimiento")</f>
        <v>0</v>
      </c>
      <c r="I30" s="41">
        <v>0</v>
      </c>
      <c r="J30" s="43" t="s">
        <v>79</v>
      </c>
      <c r="K30" s="44" t="s">
        <v>79</v>
      </c>
    </row>
    <row r="31" spans="3:11" x14ac:dyDescent="0.25">
      <c r="C31" s="40">
        <v>46099</v>
      </c>
      <c r="D31" s="41">
        <v>0</v>
      </c>
      <c r="E31" s="41">
        <v>0</v>
      </c>
      <c r="F31" s="42">
        <v>0</v>
      </c>
      <c r="G31" s="48">
        <f>+COUNTIFS(TRX!B:B,C31,TRX!F:F,"Recuperada")</f>
        <v>0</v>
      </c>
      <c r="H31" s="48">
        <f>+COUNTIFS(TRX!B:B,C31,TRX!F:F,"Seguimiento")</f>
        <v>0</v>
      </c>
      <c r="I31" s="41">
        <v>0</v>
      </c>
      <c r="J31" s="43" t="s">
        <v>79</v>
      </c>
      <c r="K31" s="44" t="s">
        <v>79</v>
      </c>
    </row>
    <row r="32" spans="3:11" x14ac:dyDescent="0.25">
      <c r="C32" s="40">
        <v>46100</v>
      </c>
      <c r="D32" s="41">
        <v>0</v>
      </c>
      <c r="E32" s="41">
        <v>0</v>
      </c>
      <c r="F32" s="42">
        <v>0</v>
      </c>
      <c r="G32" s="48">
        <f>+COUNTIFS(TRX!B:B,C32,TRX!F:F,"Recuperada")</f>
        <v>0</v>
      </c>
      <c r="H32" s="48">
        <f>+COUNTIFS(TRX!B:B,C32,TRX!F:F,"Seguimiento")</f>
        <v>0</v>
      </c>
      <c r="I32" s="41">
        <v>0</v>
      </c>
      <c r="J32" s="43" t="s">
        <v>79</v>
      </c>
      <c r="K32" s="44" t="s">
        <v>79</v>
      </c>
    </row>
    <row r="33" spans="2:11" x14ac:dyDescent="0.25">
      <c r="C33" s="40">
        <v>46101</v>
      </c>
      <c r="D33" s="41">
        <v>0</v>
      </c>
      <c r="E33" s="41">
        <v>0</v>
      </c>
      <c r="F33" s="42">
        <v>0</v>
      </c>
      <c r="G33" s="48">
        <f>+COUNTIFS(TRX!B:B,C33,TRX!F:F,"Recuperada")</f>
        <v>0</v>
      </c>
      <c r="H33" s="48">
        <f>+COUNTIFS(TRX!B:B,C33,TRX!F:F,"Seguimiento")</f>
        <v>0</v>
      </c>
      <c r="I33" s="41">
        <v>0</v>
      </c>
      <c r="J33" s="43" t="s">
        <v>79</v>
      </c>
      <c r="K33" s="44" t="s">
        <v>79</v>
      </c>
    </row>
    <row r="34" spans="2:11" x14ac:dyDescent="0.25">
      <c r="C34" s="40">
        <v>46102</v>
      </c>
      <c r="D34" s="41">
        <v>0</v>
      </c>
      <c r="E34" s="41">
        <v>0</v>
      </c>
      <c r="F34" s="42">
        <v>0</v>
      </c>
      <c r="G34" s="48">
        <f>+COUNTIFS(TRX!B:B,C34,TRX!F:F,"Recuperada")</f>
        <v>0</v>
      </c>
      <c r="H34" s="48">
        <f>+COUNTIFS(TRX!B:B,C34,TRX!F:F,"Seguimiento")</f>
        <v>0</v>
      </c>
      <c r="I34" s="41">
        <v>0</v>
      </c>
      <c r="J34" s="43" t="s">
        <v>79</v>
      </c>
      <c r="K34" s="44" t="s">
        <v>79</v>
      </c>
    </row>
    <row r="35" spans="2:11" ht="15" customHeight="1" x14ac:dyDescent="0.25">
      <c r="C35" s="40">
        <v>46103</v>
      </c>
      <c r="D35" s="41">
        <v>0</v>
      </c>
      <c r="E35" s="41">
        <v>0</v>
      </c>
      <c r="F35" s="42">
        <v>0</v>
      </c>
      <c r="G35" s="48">
        <f>+COUNTIFS(TRX!B:B,C35,TRX!F:F,"Recuperada")</f>
        <v>0</v>
      </c>
      <c r="H35" s="48">
        <f>+COUNTIFS(TRX!B:B,C35,TRX!F:F,"Seguimiento")</f>
        <v>0</v>
      </c>
      <c r="I35" s="41">
        <v>0</v>
      </c>
      <c r="J35" s="43" t="s">
        <v>79</v>
      </c>
      <c r="K35" s="44" t="s">
        <v>79</v>
      </c>
    </row>
    <row r="36" spans="2:11" ht="15" customHeight="1" x14ac:dyDescent="0.25">
      <c r="C36" s="40">
        <v>46104</v>
      </c>
      <c r="D36" s="41">
        <v>0</v>
      </c>
      <c r="E36" s="41">
        <v>0</v>
      </c>
      <c r="F36" s="42">
        <v>0</v>
      </c>
      <c r="G36" s="48">
        <f>+COUNTIFS(TRX!B:B,C36,TRX!F:F,"Recuperada")</f>
        <v>0</v>
      </c>
      <c r="H36" s="48">
        <f>+COUNTIFS(TRX!B:B,C36,TRX!F:F,"Seguimiento")</f>
        <v>0</v>
      </c>
      <c r="I36" s="41">
        <v>0</v>
      </c>
      <c r="J36" s="43" t="s">
        <v>79</v>
      </c>
      <c r="K36" s="44" t="s">
        <v>79</v>
      </c>
    </row>
    <row r="37" spans="2:11" ht="15" customHeight="1" x14ac:dyDescent="0.25">
      <c r="C37" s="40">
        <v>46105</v>
      </c>
      <c r="D37" s="41">
        <v>4</v>
      </c>
      <c r="E37" s="41">
        <v>3</v>
      </c>
      <c r="F37" s="42">
        <v>0</v>
      </c>
      <c r="G37" s="48">
        <f>+COUNTIFS(TRX!B:B,C37,TRX!F:F,"Recuperada")</f>
        <v>0</v>
      </c>
      <c r="H37" s="48">
        <f>+COUNTIFS(TRX!B:B,C37,TRX!F:F,"Seguimiento")</f>
        <v>0</v>
      </c>
      <c r="I37" s="41">
        <v>1</v>
      </c>
      <c r="J37" s="43" t="s">
        <v>104</v>
      </c>
      <c r="K37" s="44" t="s">
        <v>105</v>
      </c>
    </row>
    <row r="38" spans="2:11" ht="15" customHeight="1" x14ac:dyDescent="0.25">
      <c r="C38" s="40">
        <v>46106</v>
      </c>
      <c r="D38" s="41">
        <v>2</v>
      </c>
      <c r="E38" s="41">
        <v>1</v>
      </c>
      <c r="F38" s="42">
        <v>0</v>
      </c>
      <c r="G38" s="48">
        <f>+COUNTIFS(TRX!B:B,C38,TRX!F:F,"Recuperada")</f>
        <v>0</v>
      </c>
      <c r="H38" s="48">
        <f>+COUNTIFS(TRX!B:B,C38,TRX!F:F,"Seguimiento")</f>
        <v>0</v>
      </c>
      <c r="I38" s="41">
        <v>1</v>
      </c>
      <c r="J38" s="43" t="s">
        <v>93</v>
      </c>
      <c r="K38" s="44" t="s">
        <v>93</v>
      </c>
    </row>
    <row r="39" spans="2:11" ht="15" customHeight="1" x14ac:dyDescent="0.25">
      <c r="C39" s="40">
        <v>46107</v>
      </c>
      <c r="D39" s="41">
        <v>1</v>
      </c>
      <c r="E39" s="41">
        <v>1</v>
      </c>
      <c r="F39" s="42">
        <v>0</v>
      </c>
      <c r="G39" s="48">
        <f>+COUNTIFS(TRX!B:B,C39,TRX!F:F,"Recuperada")</f>
        <v>0</v>
      </c>
      <c r="H39" s="48">
        <f>+COUNTIFS(TRX!B:B,C39,TRX!F:F,"Seguimiento")</f>
        <v>0</v>
      </c>
      <c r="I39" s="41">
        <v>0</v>
      </c>
      <c r="J39" s="43" t="s">
        <v>78</v>
      </c>
      <c r="K39" s="44" t="s">
        <v>79</v>
      </c>
    </row>
    <row r="40" spans="2:11" ht="15" customHeight="1" x14ac:dyDescent="0.25">
      <c r="C40" s="40">
        <v>46108</v>
      </c>
      <c r="D40" s="41">
        <v>3</v>
      </c>
      <c r="E40" s="41">
        <v>3</v>
      </c>
      <c r="F40" s="42">
        <v>0</v>
      </c>
      <c r="G40" s="48">
        <f>+COUNTIFS(TRX!B:B,C40,TRX!F:F,"Recuperada")</f>
        <v>0</v>
      </c>
      <c r="H40" s="48">
        <f>+COUNTIFS(TRX!B:B,C40,TRX!F:F,"Seguimiento")</f>
        <v>0</v>
      </c>
      <c r="I40" s="41">
        <v>0</v>
      </c>
      <c r="J40" s="43" t="s">
        <v>78</v>
      </c>
      <c r="K40" s="44" t="s">
        <v>79</v>
      </c>
    </row>
    <row r="41" spans="2:11" ht="15" customHeight="1" x14ac:dyDescent="0.25">
      <c r="C41" s="40">
        <v>46109</v>
      </c>
      <c r="D41" s="41">
        <v>1</v>
      </c>
      <c r="E41" s="41">
        <v>1</v>
      </c>
      <c r="F41" s="42">
        <v>0</v>
      </c>
      <c r="G41" s="48">
        <f>+COUNTIFS(TRX!B:B,C41,TRX!F:F,"Recuperada")</f>
        <v>0</v>
      </c>
      <c r="H41" s="48">
        <f>+COUNTIFS(TRX!B:B,C41,TRX!F:F,"Seguimiento")</f>
        <v>0</v>
      </c>
      <c r="I41" s="41">
        <v>0</v>
      </c>
      <c r="J41" s="43" t="s">
        <v>78</v>
      </c>
      <c r="K41" s="44" t="s">
        <v>79</v>
      </c>
    </row>
    <row r="42" spans="2:11" ht="15" customHeight="1" x14ac:dyDescent="0.25">
      <c r="C42" s="40">
        <v>46110</v>
      </c>
      <c r="D42" s="41">
        <v>1</v>
      </c>
      <c r="E42" s="41">
        <v>1</v>
      </c>
      <c r="F42" s="42">
        <v>0</v>
      </c>
      <c r="G42" s="48">
        <f>+COUNTIFS(TRX!B:B,C42,TRX!F:F,"Recuperada")</f>
        <v>0</v>
      </c>
      <c r="H42" s="48">
        <f>+COUNTIFS(TRX!B:B,C42,TRX!F:F,"Seguimiento")</f>
        <v>0</v>
      </c>
      <c r="I42" s="41">
        <v>0</v>
      </c>
      <c r="J42" s="43" t="s">
        <v>78</v>
      </c>
      <c r="K42" s="44" t="s">
        <v>79</v>
      </c>
    </row>
    <row r="43" spans="2:11" ht="15" customHeight="1" x14ac:dyDescent="0.25">
      <c r="C43" s="40">
        <v>46111</v>
      </c>
      <c r="D43" s="41">
        <v>7</v>
      </c>
      <c r="E43" s="41">
        <v>6</v>
      </c>
      <c r="F43" s="42">
        <v>0</v>
      </c>
      <c r="G43" s="48">
        <f>+COUNTIFS(TRX!B:B,C43,TRX!F:F,"Recuperada")</f>
        <v>0</v>
      </c>
      <c r="H43" s="48">
        <f>+COUNTIFS(TRX!B:B,C43,TRX!F:F,"Seguimiento")</f>
        <v>0</v>
      </c>
      <c r="I43" s="41">
        <v>1</v>
      </c>
      <c r="J43" s="43" t="s">
        <v>106</v>
      </c>
      <c r="K43" s="44" t="s">
        <v>107</v>
      </c>
    </row>
    <row r="44" spans="2:11" ht="15" customHeight="1" x14ac:dyDescent="0.25">
      <c r="C44" s="40">
        <v>46112</v>
      </c>
      <c r="D44" s="41">
        <v>5</v>
      </c>
      <c r="E44" s="41">
        <v>4</v>
      </c>
      <c r="F44" s="42">
        <v>0</v>
      </c>
      <c r="G44" s="48">
        <f>+COUNTIFS(TRX!B:B,C44,TRX!F:F,"Recuperada")</f>
        <v>0</v>
      </c>
      <c r="H44" s="48">
        <f>+COUNTIFS(TRX!B:B,C44,TRX!F:F,"Seguimiento")</f>
        <v>0</v>
      </c>
      <c r="I44" s="41">
        <v>1</v>
      </c>
      <c r="J44" s="43" t="s">
        <v>108</v>
      </c>
      <c r="K44" s="44" t="s">
        <v>109</v>
      </c>
    </row>
    <row r="45" spans="2:11" ht="31.5" x14ac:dyDescent="0.25">
      <c r="B45" s="10"/>
      <c r="C45" s="37" t="s">
        <v>5</v>
      </c>
      <c r="D45" s="38">
        <v>40</v>
      </c>
      <c r="E45" s="38">
        <v>36</v>
      </c>
      <c r="F45" s="38">
        <v>1</v>
      </c>
      <c r="G45" s="38">
        <f t="shared" ref="G45:H45" si="0">+SUM(G14:G44)</f>
        <v>1</v>
      </c>
      <c r="H45" s="38">
        <f t="shared" si="0"/>
        <v>0</v>
      </c>
      <c r="I45" s="38">
        <v>4</v>
      </c>
      <c r="J45" s="39" t="s">
        <v>110</v>
      </c>
      <c r="K45" s="39" t="s">
        <v>111</v>
      </c>
    </row>
    <row r="46" spans="2:11" s="9" customFormat="1" ht="17.25" customHeight="1" x14ac:dyDescent="0.25">
      <c r="B46" s="1"/>
      <c r="C46" s="11"/>
      <c r="D46" s="11"/>
      <c r="E46" s="11"/>
      <c r="F46" s="24"/>
      <c r="G46" s="11"/>
      <c r="H46" s="11"/>
      <c r="I46" s="11"/>
      <c r="J46" s="12"/>
      <c r="K46" s="12"/>
    </row>
    <row r="47" spans="2:11" ht="20.25" x14ac:dyDescent="0.25">
      <c r="B47" s="15"/>
      <c r="E47" s="13"/>
      <c r="F47" s="13"/>
      <c r="G47" s="13"/>
      <c r="H47" s="13"/>
      <c r="I47" s="13"/>
      <c r="J47" s="32"/>
    </row>
    <row r="48" spans="2:11" ht="20.25" x14ac:dyDescent="0.3">
      <c r="C48" s="15"/>
      <c r="D48" s="15"/>
      <c r="E48" s="16"/>
      <c r="F48" s="16"/>
      <c r="G48" s="16"/>
      <c r="H48" s="16"/>
      <c r="I48" s="16"/>
      <c r="J48" s="14"/>
    </row>
    <row r="51" ht="19.5" customHeight="1" x14ac:dyDescent="0.25"/>
  </sheetData>
  <mergeCells count="10">
    <mergeCell ref="D9:F9"/>
    <mergeCell ref="D6:F6"/>
    <mergeCell ref="C12:K12"/>
    <mergeCell ref="D3:J4"/>
    <mergeCell ref="G6:J6"/>
    <mergeCell ref="G7:J7"/>
    <mergeCell ref="G8:J8"/>
    <mergeCell ref="G9:J9"/>
    <mergeCell ref="D7:F7"/>
    <mergeCell ref="D8:F8"/>
  </mergeCells>
  <phoneticPr fontId="19" type="noConversion"/>
  <conditionalFormatting sqref="J45:K4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{F4E541AB-695D-4C31-A4A1-2811AB9C980C}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E541AB-695D-4C31-A4A1-2811AB9C98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J45:K46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showGridLines="0" zoomScale="80" zoomScaleNormal="80" workbookViewId="0"/>
  </sheetViews>
  <sheetFormatPr baseColWidth="10" defaultColWidth="0" defaultRowHeight="15.75" x14ac:dyDescent="0.25"/>
  <cols>
    <col min="1" max="1" width="18.140625" style="33" customWidth="1"/>
    <col min="2" max="2" width="14.7109375" style="33" customWidth="1"/>
    <col min="3" max="3" width="10.7109375" style="33" customWidth="1"/>
    <col min="4" max="4" width="16.42578125" style="34" customWidth="1"/>
    <col min="5" max="5" width="9.42578125" style="33" bestFit="1" customWidth="1"/>
    <col min="6" max="6" width="18.42578125" style="33" customWidth="1"/>
    <col min="7" max="7" width="21.5703125" style="33" customWidth="1"/>
    <col min="8" max="8" width="41.85546875" style="33" bestFit="1" customWidth="1"/>
    <col min="9" max="9" width="19.7109375" style="33" customWidth="1"/>
    <col min="10" max="10" width="26.28515625" style="33" customWidth="1"/>
    <col min="11" max="11" width="25.28515625" style="33" bestFit="1" customWidth="1"/>
    <col min="12" max="12" width="33.42578125" style="33" bestFit="1" customWidth="1"/>
    <col min="13" max="13" width="20.7109375" style="33" bestFit="1" customWidth="1"/>
    <col min="14" max="14" width="29.42578125" style="33" customWidth="1"/>
    <col min="15" max="15" width="37.7109375" style="33" customWidth="1"/>
    <col min="16" max="16" width="45" style="33" customWidth="1"/>
    <col min="17" max="17" width="20" style="33" bestFit="1" customWidth="1"/>
    <col min="18" max="18" width="11.42578125" style="45" customWidth="1"/>
    <col min="19" max="16384" width="11.42578125" style="28" hidden="1"/>
  </cols>
  <sheetData>
    <row r="1" spans="1:18" x14ac:dyDescent="0.25">
      <c r="A1" s="28"/>
      <c r="B1" s="28"/>
      <c r="C1" s="28"/>
      <c r="D1" s="29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x14ac:dyDescent="0.25">
      <c r="A2" s="28"/>
      <c r="B2" s="28"/>
      <c r="C2" s="28"/>
      <c r="D2" s="29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8" x14ac:dyDescent="0.25">
      <c r="A3" s="28"/>
      <c r="B3" s="28"/>
      <c r="C3" s="28"/>
      <c r="D3" s="29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8" ht="15" customHeight="1" x14ac:dyDescent="0.25">
      <c r="A4" s="98" t="s">
        <v>36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</row>
    <row r="5" spans="1:18" ht="12.75" customHeight="1" x14ac:dyDescent="0.25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</row>
    <row r="6" spans="1:18" ht="12.75" customHeight="1" x14ac:dyDescent="0.25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</row>
    <row r="7" spans="1:18" ht="12.75" customHeight="1" x14ac:dyDescent="0.25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</row>
    <row r="8" spans="1:18" ht="12.75" customHeight="1" x14ac:dyDescent="0.25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</row>
    <row r="9" spans="1:18" ht="12.75" customHeight="1" x14ac:dyDescent="0.25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</row>
    <row r="10" spans="1:18" ht="12.75" customHeight="1" x14ac:dyDescent="0.25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</row>
    <row r="11" spans="1:18" x14ac:dyDescent="0.25">
      <c r="A11" s="28"/>
      <c r="B11" s="28"/>
      <c r="C11" s="28"/>
      <c r="D11" s="29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</row>
    <row r="12" spans="1:18" ht="9.75" customHeight="1" x14ac:dyDescent="0.25">
      <c r="A12" s="28"/>
      <c r="B12" s="28"/>
      <c r="C12" s="28"/>
      <c r="D12" s="29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</row>
    <row r="13" spans="1:18" s="30" customFormat="1" ht="28.5" customHeight="1" x14ac:dyDescent="0.25">
      <c r="A13" s="31" t="s">
        <v>6</v>
      </c>
      <c r="B13" s="31" t="s">
        <v>17</v>
      </c>
      <c r="C13" s="31" t="s">
        <v>26</v>
      </c>
      <c r="D13" s="31" t="s">
        <v>27</v>
      </c>
      <c r="E13" s="31" t="s">
        <v>28</v>
      </c>
      <c r="F13" s="31" t="s">
        <v>23</v>
      </c>
      <c r="G13" s="31" t="s">
        <v>7</v>
      </c>
      <c r="H13" s="31" t="s">
        <v>8</v>
      </c>
      <c r="I13" s="31" t="s">
        <v>18</v>
      </c>
      <c r="J13" s="31" t="s">
        <v>9</v>
      </c>
      <c r="K13" s="31" t="s">
        <v>10</v>
      </c>
      <c r="L13" s="31" t="s">
        <v>29</v>
      </c>
      <c r="M13" s="31" t="s">
        <v>30</v>
      </c>
      <c r="N13" s="31" t="s">
        <v>11</v>
      </c>
      <c r="O13" s="31" t="s">
        <v>12</v>
      </c>
      <c r="P13" s="31" t="s">
        <v>13</v>
      </c>
      <c r="Q13" s="47" t="s">
        <v>31</v>
      </c>
      <c r="R13" s="46"/>
    </row>
    <row r="14" spans="1:18" x14ac:dyDescent="0.25">
      <c r="A14" s="33" t="s">
        <v>65</v>
      </c>
      <c r="B14" s="63">
        <v>46082</v>
      </c>
      <c r="C14" s="33" t="s">
        <v>112</v>
      </c>
      <c r="D14" s="34" t="s">
        <v>113</v>
      </c>
      <c r="E14" s="33" t="s">
        <v>113</v>
      </c>
      <c r="F14" s="33" t="s">
        <v>32</v>
      </c>
      <c r="G14" s="33" t="s">
        <v>40</v>
      </c>
      <c r="H14" s="33" t="s">
        <v>41</v>
      </c>
      <c r="I14" s="33" t="s">
        <v>87</v>
      </c>
      <c r="J14" s="33" t="s">
        <v>82</v>
      </c>
      <c r="K14" s="33" t="s">
        <v>40</v>
      </c>
      <c r="L14" s="33" t="s">
        <v>83</v>
      </c>
      <c r="M14" s="33" t="s">
        <v>84</v>
      </c>
      <c r="N14" s="33" t="s">
        <v>66</v>
      </c>
      <c r="O14" s="33" t="s">
        <v>47</v>
      </c>
      <c r="P14" s="33" t="s">
        <v>59</v>
      </c>
      <c r="Q14" s="33" t="s">
        <v>33</v>
      </c>
    </row>
    <row r="15" spans="1:18" x14ac:dyDescent="0.25">
      <c r="A15" s="33" t="s">
        <v>90</v>
      </c>
      <c r="B15" s="63">
        <v>46083</v>
      </c>
      <c r="C15" s="33" t="s">
        <v>114</v>
      </c>
      <c r="D15" s="34" t="s">
        <v>115</v>
      </c>
      <c r="E15" s="33" t="s">
        <v>115</v>
      </c>
      <c r="F15" s="33" t="s">
        <v>116</v>
      </c>
      <c r="G15" s="33" t="s">
        <v>117</v>
      </c>
      <c r="H15" s="33" t="s">
        <v>118</v>
      </c>
      <c r="I15" s="33" t="s">
        <v>81</v>
      </c>
      <c r="K15" s="33" t="s">
        <v>119</v>
      </c>
      <c r="M15" s="33" t="s">
        <v>84</v>
      </c>
      <c r="N15" s="33" t="s">
        <v>61</v>
      </c>
      <c r="O15" s="33" t="s">
        <v>75</v>
      </c>
      <c r="P15" s="33" t="s">
        <v>120</v>
      </c>
      <c r="Q15" s="33" t="s">
        <v>33</v>
      </c>
    </row>
    <row r="16" spans="1:18" x14ac:dyDescent="0.25">
      <c r="A16" s="33" t="s">
        <v>90</v>
      </c>
      <c r="B16" s="63">
        <v>46083</v>
      </c>
      <c r="C16" s="33" t="s">
        <v>121</v>
      </c>
      <c r="D16" s="34" t="s">
        <v>122</v>
      </c>
      <c r="E16" s="33" t="s">
        <v>122</v>
      </c>
      <c r="F16" s="33" t="s">
        <v>32</v>
      </c>
      <c r="G16" s="33" t="s">
        <v>117</v>
      </c>
      <c r="H16" s="33" t="s">
        <v>118</v>
      </c>
      <c r="I16" s="33" t="s">
        <v>81</v>
      </c>
      <c r="K16" s="33" t="s">
        <v>119</v>
      </c>
      <c r="M16" s="33" t="s">
        <v>84</v>
      </c>
      <c r="N16" s="33" t="s">
        <v>61</v>
      </c>
      <c r="O16" s="33" t="s">
        <v>123</v>
      </c>
      <c r="P16" s="33" t="s">
        <v>124</v>
      </c>
      <c r="Q16" s="33" t="s">
        <v>33</v>
      </c>
    </row>
    <row r="17" spans="1:17" x14ac:dyDescent="0.25">
      <c r="A17" s="33" t="s">
        <v>100</v>
      </c>
      <c r="B17" s="63">
        <v>46083</v>
      </c>
      <c r="C17" s="33" t="s">
        <v>125</v>
      </c>
      <c r="D17" s="34" t="s">
        <v>126</v>
      </c>
      <c r="E17" s="33" t="s">
        <v>126</v>
      </c>
      <c r="F17" s="33" t="s">
        <v>32</v>
      </c>
      <c r="G17" s="33" t="s">
        <v>127</v>
      </c>
      <c r="H17" s="33" t="s">
        <v>128</v>
      </c>
      <c r="I17" s="33" t="s">
        <v>129</v>
      </c>
      <c r="K17" s="33" t="s">
        <v>130</v>
      </c>
      <c r="M17" s="33" t="s">
        <v>84</v>
      </c>
      <c r="N17" s="33" t="s">
        <v>61</v>
      </c>
      <c r="O17" s="33" t="s">
        <v>85</v>
      </c>
      <c r="P17" s="33" t="s">
        <v>131</v>
      </c>
      <c r="Q17" s="33" t="s">
        <v>33</v>
      </c>
    </row>
    <row r="18" spans="1:17" x14ac:dyDescent="0.25">
      <c r="A18" s="33" t="s">
        <v>65</v>
      </c>
      <c r="B18" s="63">
        <v>46084</v>
      </c>
      <c r="C18" s="33" t="s">
        <v>132</v>
      </c>
      <c r="D18" s="34" t="s">
        <v>133</v>
      </c>
      <c r="E18" s="33" t="s">
        <v>133</v>
      </c>
      <c r="F18" s="33" t="s">
        <v>32</v>
      </c>
      <c r="G18" s="33" t="s">
        <v>40</v>
      </c>
      <c r="H18" s="33" t="s">
        <v>41</v>
      </c>
      <c r="I18" s="33" t="s">
        <v>87</v>
      </c>
      <c r="J18" s="33" t="s">
        <v>82</v>
      </c>
      <c r="K18" s="33" t="s">
        <v>40</v>
      </c>
      <c r="L18" s="33" t="s">
        <v>83</v>
      </c>
      <c r="M18" s="33" t="s">
        <v>84</v>
      </c>
      <c r="N18" s="33" t="s">
        <v>66</v>
      </c>
      <c r="O18" s="33" t="s">
        <v>47</v>
      </c>
      <c r="P18" s="33" t="s">
        <v>59</v>
      </c>
      <c r="Q18" s="33" t="s">
        <v>33</v>
      </c>
    </row>
    <row r="19" spans="1:17" x14ac:dyDescent="0.25">
      <c r="A19" s="33" t="s">
        <v>74</v>
      </c>
      <c r="B19" s="63">
        <v>46084</v>
      </c>
      <c r="C19" s="33" t="s">
        <v>134</v>
      </c>
      <c r="D19" s="34" t="s">
        <v>135</v>
      </c>
      <c r="E19" s="33" t="s">
        <v>135</v>
      </c>
      <c r="F19" s="33" t="s">
        <v>32</v>
      </c>
      <c r="G19" s="33" t="s">
        <v>117</v>
      </c>
      <c r="H19" s="33" t="s">
        <v>118</v>
      </c>
      <c r="I19" s="33" t="s">
        <v>101</v>
      </c>
      <c r="J19" s="33" t="s">
        <v>86</v>
      </c>
      <c r="K19" s="33" t="s">
        <v>119</v>
      </c>
      <c r="L19" s="33" t="s">
        <v>83</v>
      </c>
      <c r="M19" s="33" t="s">
        <v>84</v>
      </c>
      <c r="N19" s="33" t="s">
        <v>61</v>
      </c>
      <c r="O19" s="33" t="s">
        <v>136</v>
      </c>
      <c r="P19" s="33" t="s">
        <v>137</v>
      </c>
      <c r="Q19" s="33" t="s">
        <v>33</v>
      </c>
    </row>
    <row r="20" spans="1:17" x14ac:dyDescent="0.25">
      <c r="A20" s="33" t="s">
        <v>98</v>
      </c>
      <c r="B20" s="63">
        <v>46084</v>
      </c>
      <c r="C20" s="33" t="s">
        <v>138</v>
      </c>
      <c r="D20" s="34" t="s">
        <v>139</v>
      </c>
      <c r="E20" s="33" t="s">
        <v>139</v>
      </c>
      <c r="F20" s="33" t="s">
        <v>32</v>
      </c>
      <c r="G20" s="33" t="s">
        <v>140</v>
      </c>
      <c r="H20" s="33" t="s">
        <v>141</v>
      </c>
      <c r="I20" s="33" t="s">
        <v>101</v>
      </c>
      <c r="J20" s="33" t="s">
        <v>86</v>
      </c>
      <c r="K20" s="33" t="s">
        <v>142</v>
      </c>
      <c r="L20" s="33" t="s">
        <v>83</v>
      </c>
      <c r="M20" s="33" t="s">
        <v>84</v>
      </c>
      <c r="N20" s="33" t="s">
        <v>61</v>
      </c>
      <c r="O20" s="33" t="s">
        <v>143</v>
      </c>
      <c r="P20" s="33" t="s">
        <v>144</v>
      </c>
      <c r="Q20" s="33" t="s">
        <v>33</v>
      </c>
    </row>
    <row r="21" spans="1:17" x14ac:dyDescent="0.25">
      <c r="A21" s="33" t="s">
        <v>89</v>
      </c>
      <c r="B21" s="63">
        <v>46084</v>
      </c>
      <c r="C21" s="33" t="s">
        <v>145</v>
      </c>
      <c r="D21" s="34" t="s">
        <v>146</v>
      </c>
      <c r="E21" s="33" t="s">
        <v>146</v>
      </c>
      <c r="F21" s="33" t="s">
        <v>32</v>
      </c>
      <c r="G21" s="33" t="s">
        <v>140</v>
      </c>
      <c r="H21" s="33" t="s">
        <v>141</v>
      </c>
      <c r="I21" s="33" t="s">
        <v>101</v>
      </c>
      <c r="J21" s="33" t="s">
        <v>86</v>
      </c>
      <c r="K21" s="33" t="s">
        <v>142</v>
      </c>
      <c r="L21" s="33" t="s">
        <v>83</v>
      </c>
      <c r="M21" s="33" t="s">
        <v>84</v>
      </c>
      <c r="N21" s="33" t="s">
        <v>61</v>
      </c>
      <c r="O21" s="33" t="s">
        <v>75</v>
      </c>
      <c r="P21" s="33" t="s">
        <v>147</v>
      </c>
      <c r="Q21" s="33" t="s">
        <v>33</v>
      </c>
    </row>
    <row r="22" spans="1:17" x14ac:dyDescent="0.25">
      <c r="A22" s="33" t="s">
        <v>148</v>
      </c>
      <c r="B22" s="63">
        <v>46085</v>
      </c>
      <c r="C22" s="33" t="s">
        <v>149</v>
      </c>
      <c r="D22" s="34" t="s">
        <v>150</v>
      </c>
      <c r="E22" s="33" t="s">
        <v>150</v>
      </c>
      <c r="F22" s="33" t="s">
        <v>32</v>
      </c>
      <c r="G22" s="33" t="s">
        <v>151</v>
      </c>
      <c r="H22" s="33" t="s">
        <v>152</v>
      </c>
      <c r="I22" s="33" t="s">
        <v>81</v>
      </c>
      <c r="J22" s="33" t="s">
        <v>86</v>
      </c>
      <c r="K22" s="33" t="s">
        <v>153</v>
      </c>
      <c r="L22" s="33" t="s">
        <v>154</v>
      </c>
      <c r="M22" s="33" t="s">
        <v>84</v>
      </c>
      <c r="N22" s="33" t="s">
        <v>61</v>
      </c>
      <c r="O22" s="33" t="s">
        <v>75</v>
      </c>
      <c r="P22" s="33" t="s">
        <v>155</v>
      </c>
      <c r="Q22" s="33" t="s">
        <v>33</v>
      </c>
    </row>
    <row r="23" spans="1:17" x14ac:dyDescent="0.25">
      <c r="A23" s="33" t="s">
        <v>88</v>
      </c>
      <c r="B23" s="63">
        <v>46085</v>
      </c>
      <c r="C23" s="33" t="s">
        <v>156</v>
      </c>
      <c r="D23" s="34" t="s">
        <v>157</v>
      </c>
      <c r="E23" s="33" t="s">
        <v>157</v>
      </c>
      <c r="F23" s="33" t="s">
        <v>32</v>
      </c>
      <c r="G23" s="33" t="s">
        <v>158</v>
      </c>
      <c r="H23" s="33" t="s">
        <v>159</v>
      </c>
      <c r="I23" s="33" t="s">
        <v>81</v>
      </c>
      <c r="K23" s="33" t="s">
        <v>160</v>
      </c>
      <c r="L23" s="33" t="s">
        <v>81</v>
      </c>
      <c r="M23" s="33" t="s">
        <v>84</v>
      </c>
      <c r="N23" s="33" t="s">
        <v>61</v>
      </c>
      <c r="O23" s="33" t="s">
        <v>75</v>
      </c>
      <c r="P23" s="33" t="s">
        <v>161</v>
      </c>
      <c r="Q23" s="33" t="s">
        <v>33</v>
      </c>
    </row>
    <row r="24" spans="1:17" x14ac:dyDescent="0.25">
      <c r="A24" s="33" t="s">
        <v>67</v>
      </c>
      <c r="B24" s="63">
        <v>46085</v>
      </c>
      <c r="C24" s="33" t="s">
        <v>162</v>
      </c>
      <c r="D24" s="34" t="s">
        <v>163</v>
      </c>
      <c r="E24" s="33" t="s">
        <v>163</v>
      </c>
      <c r="F24" s="33" t="s">
        <v>32</v>
      </c>
      <c r="G24" s="33" t="s">
        <v>158</v>
      </c>
      <c r="H24" s="33" t="s">
        <v>159</v>
      </c>
      <c r="I24" s="33" t="s">
        <v>81</v>
      </c>
      <c r="J24" s="33" t="s">
        <v>86</v>
      </c>
      <c r="K24" s="33" t="s">
        <v>160</v>
      </c>
      <c r="L24" s="33" t="s">
        <v>81</v>
      </c>
      <c r="M24" s="33" t="s">
        <v>84</v>
      </c>
      <c r="N24" s="33" t="s">
        <v>61</v>
      </c>
      <c r="O24" s="33" t="s">
        <v>143</v>
      </c>
      <c r="P24" s="33" t="s">
        <v>164</v>
      </c>
      <c r="Q24" s="33" t="s">
        <v>33</v>
      </c>
    </row>
    <row r="25" spans="1:17" x14ac:dyDescent="0.25">
      <c r="A25" s="33" t="s">
        <v>67</v>
      </c>
      <c r="B25" s="63">
        <v>46085</v>
      </c>
      <c r="C25" s="33" t="s">
        <v>165</v>
      </c>
      <c r="D25" s="34" t="s">
        <v>166</v>
      </c>
      <c r="E25" s="33" t="s">
        <v>166</v>
      </c>
      <c r="F25" s="33" t="s">
        <v>32</v>
      </c>
      <c r="G25" s="33" t="s">
        <v>158</v>
      </c>
      <c r="H25" s="33" t="s">
        <v>159</v>
      </c>
      <c r="I25" s="33" t="s">
        <v>81</v>
      </c>
      <c r="J25" s="33" t="s">
        <v>86</v>
      </c>
      <c r="K25" s="33" t="s">
        <v>160</v>
      </c>
      <c r="L25" s="33" t="s">
        <v>81</v>
      </c>
      <c r="M25" s="33" t="s">
        <v>84</v>
      </c>
      <c r="N25" s="33" t="s">
        <v>61</v>
      </c>
      <c r="O25" s="33" t="s">
        <v>85</v>
      </c>
      <c r="P25" s="33" t="s">
        <v>94</v>
      </c>
      <c r="Q25" s="33" t="s">
        <v>33</v>
      </c>
    </row>
    <row r="26" spans="1:17" x14ac:dyDescent="0.25">
      <c r="A26" s="33" t="s">
        <v>167</v>
      </c>
      <c r="B26" s="63">
        <v>46085</v>
      </c>
      <c r="C26" s="33" t="s">
        <v>168</v>
      </c>
      <c r="D26" s="34" t="s">
        <v>169</v>
      </c>
      <c r="E26" s="33" t="s">
        <v>169</v>
      </c>
      <c r="F26" s="33" t="s">
        <v>32</v>
      </c>
      <c r="G26" s="33" t="s">
        <v>170</v>
      </c>
      <c r="H26" s="33" t="s">
        <v>171</v>
      </c>
      <c r="I26" s="33" t="s">
        <v>81</v>
      </c>
      <c r="J26" s="33" t="s">
        <v>86</v>
      </c>
      <c r="K26" s="33" t="s">
        <v>40</v>
      </c>
      <c r="L26" s="33" t="s">
        <v>83</v>
      </c>
      <c r="M26" s="33" t="s">
        <v>84</v>
      </c>
      <c r="N26" s="33" t="s">
        <v>61</v>
      </c>
      <c r="O26" s="33" t="s">
        <v>172</v>
      </c>
      <c r="P26" s="33" t="s">
        <v>173</v>
      </c>
      <c r="Q26" s="33" t="s">
        <v>33</v>
      </c>
    </row>
    <row r="27" spans="1:17" x14ac:dyDescent="0.25">
      <c r="A27" s="33" t="s">
        <v>65</v>
      </c>
      <c r="B27" s="63">
        <v>46086</v>
      </c>
      <c r="C27" s="33" t="s">
        <v>174</v>
      </c>
      <c r="D27" s="34" t="s">
        <v>175</v>
      </c>
      <c r="E27" s="33" t="s">
        <v>175</v>
      </c>
      <c r="F27" s="33" t="s">
        <v>32</v>
      </c>
      <c r="G27" s="33" t="s">
        <v>40</v>
      </c>
      <c r="H27" s="33" t="s">
        <v>41</v>
      </c>
      <c r="I27" s="33" t="s">
        <v>87</v>
      </c>
      <c r="J27" s="33" t="s">
        <v>82</v>
      </c>
      <c r="K27" s="33" t="s">
        <v>40</v>
      </c>
      <c r="L27" s="33" t="s">
        <v>83</v>
      </c>
      <c r="M27" s="33" t="s">
        <v>84</v>
      </c>
      <c r="N27" s="33" t="s">
        <v>66</v>
      </c>
      <c r="O27" s="33" t="s">
        <v>47</v>
      </c>
      <c r="P27" s="33" t="s">
        <v>59</v>
      </c>
      <c r="Q27" s="33" t="s">
        <v>33</v>
      </c>
    </row>
    <row r="28" spans="1:17" x14ac:dyDescent="0.25">
      <c r="A28" s="33" t="s">
        <v>67</v>
      </c>
      <c r="B28" s="63">
        <v>46086</v>
      </c>
      <c r="C28" s="33" t="s">
        <v>176</v>
      </c>
      <c r="D28" s="34" t="s">
        <v>177</v>
      </c>
      <c r="E28" s="33" t="s">
        <v>177</v>
      </c>
      <c r="F28" s="33" t="s">
        <v>32</v>
      </c>
      <c r="G28" s="33" t="s">
        <v>178</v>
      </c>
      <c r="H28" s="33" t="s">
        <v>179</v>
      </c>
      <c r="I28" s="33" t="s">
        <v>81</v>
      </c>
      <c r="J28" s="33" t="s">
        <v>86</v>
      </c>
      <c r="K28" s="33" t="s">
        <v>180</v>
      </c>
      <c r="M28" s="33" t="s">
        <v>84</v>
      </c>
      <c r="N28" s="33" t="s">
        <v>61</v>
      </c>
      <c r="O28" s="33" t="s">
        <v>75</v>
      </c>
      <c r="P28" s="33" t="s">
        <v>181</v>
      </c>
      <c r="Q28" s="33" t="s">
        <v>33</v>
      </c>
    </row>
    <row r="29" spans="1:17" x14ac:dyDescent="0.25">
      <c r="A29" s="33" t="s">
        <v>67</v>
      </c>
      <c r="B29" s="63">
        <v>46086</v>
      </c>
      <c r="C29" s="33" t="s">
        <v>182</v>
      </c>
      <c r="D29" s="34" t="s">
        <v>183</v>
      </c>
      <c r="E29" s="33" t="s">
        <v>183</v>
      </c>
      <c r="F29" s="33" t="s">
        <v>32</v>
      </c>
      <c r="G29" s="33" t="s">
        <v>178</v>
      </c>
      <c r="H29" s="33" t="s">
        <v>179</v>
      </c>
      <c r="I29" s="33" t="s">
        <v>81</v>
      </c>
      <c r="J29" s="33" t="s">
        <v>86</v>
      </c>
      <c r="K29" s="33" t="s">
        <v>180</v>
      </c>
      <c r="M29" s="33" t="s">
        <v>84</v>
      </c>
      <c r="N29" s="33" t="s">
        <v>61</v>
      </c>
      <c r="O29" s="33" t="s">
        <v>76</v>
      </c>
      <c r="P29" s="33" t="s">
        <v>184</v>
      </c>
      <c r="Q29" s="33" t="s">
        <v>33</v>
      </c>
    </row>
    <row r="30" spans="1:17" x14ac:dyDescent="0.25">
      <c r="A30" s="33" t="s">
        <v>67</v>
      </c>
      <c r="B30" s="63">
        <v>46086</v>
      </c>
      <c r="C30" s="33" t="s">
        <v>185</v>
      </c>
      <c r="D30" s="34" t="s">
        <v>186</v>
      </c>
      <c r="E30" s="33" t="s">
        <v>186</v>
      </c>
      <c r="F30" s="33" t="s">
        <v>32</v>
      </c>
      <c r="G30" s="33" t="s">
        <v>178</v>
      </c>
      <c r="H30" s="33" t="s">
        <v>179</v>
      </c>
      <c r="I30" s="33" t="s">
        <v>81</v>
      </c>
      <c r="J30" s="33" t="s">
        <v>86</v>
      </c>
      <c r="K30" s="33" t="s">
        <v>180</v>
      </c>
      <c r="M30" s="33" t="s">
        <v>84</v>
      </c>
      <c r="N30" s="33" t="s">
        <v>61</v>
      </c>
      <c r="O30" s="33" t="s">
        <v>85</v>
      </c>
      <c r="P30" s="33" t="s">
        <v>187</v>
      </c>
      <c r="Q30" s="33" t="s">
        <v>33</v>
      </c>
    </row>
    <row r="31" spans="1:17" x14ac:dyDescent="0.25">
      <c r="A31" s="33" t="s">
        <v>88</v>
      </c>
      <c r="B31" s="63">
        <v>46087</v>
      </c>
      <c r="C31" s="33" t="s">
        <v>188</v>
      </c>
      <c r="D31" s="34" t="s">
        <v>189</v>
      </c>
      <c r="E31" s="33" t="s">
        <v>189</v>
      </c>
      <c r="F31" s="33" t="s">
        <v>32</v>
      </c>
      <c r="G31" s="33" t="s">
        <v>190</v>
      </c>
      <c r="H31" s="33" t="s">
        <v>191</v>
      </c>
      <c r="I31" s="33" t="s">
        <v>81</v>
      </c>
      <c r="K31" s="33" t="s">
        <v>192</v>
      </c>
      <c r="L31" s="33" t="s">
        <v>81</v>
      </c>
      <c r="M31" s="33" t="s">
        <v>84</v>
      </c>
      <c r="N31" s="33" t="s">
        <v>61</v>
      </c>
      <c r="O31" s="33" t="s">
        <v>76</v>
      </c>
      <c r="P31" s="33" t="s">
        <v>193</v>
      </c>
      <c r="Q31" s="33" t="s">
        <v>33</v>
      </c>
    </row>
    <row r="32" spans="1:17" x14ac:dyDescent="0.25">
      <c r="A32" s="33" t="s">
        <v>69</v>
      </c>
      <c r="B32" s="63">
        <v>46088</v>
      </c>
      <c r="C32" s="33" t="s">
        <v>194</v>
      </c>
      <c r="D32" s="34" t="s">
        <v>195</v>
      </c>
      <c r="E32" s="33" t="s">
        <v>195</v>
      </c>
      <c r="F32" s="33" t="s">
        <v>32</v>
      </c>
      <c r="G32" s="33" t="s">
        <v>196</v>
      </c>
      <c r="H32" s="33" t="s">
        <v>197</v>
      </c>
      <c r="I32" s="33" t="s">
        <v>92</v>
      </c>
      <c r="K32" s="33" t="s">
        <v>198</v>
      </c>
      <c r="M32" s="33" t="s">
        <v>84</v>
      </c>
      <c r="N32" s="33" t="s">
        <v>61</v>
      </c>
      <c r="O32" s="33" t="s">
        <v>77</v>
      </c>
      <c r="P32" s="33" t="s">
        <v>199</v>
      </c>
      <c r="Q32" s="33" t="s">
        <v>33</v>
      </c>
    </row>
    <row r="33" spans="1:17" x14ac:dyDescent="0.25">
      <c r="A33" s="33" t="s">
        <v>74</v>
      </c>
      <c r="B33" s="63">
        <v>46088</v>
      </c>
      <c r="C33" s="33" t="s">
        <v>200</v>
      </c>
      <c r="D33" s="34" t="s">
        <v>201</v>
      </c>
      <c r="E33" s="33" t="s">
        <v>201</v>
      </c>
      <c r="F33" s="33" t="s">
        <v>32</v>
      </c>
      <c r="G33" s="33" t="s">
        <v>202</v>
      </c>
      <c r="H33" s="33" t="s">
        <v>203</v>
      </c>
      <c r="I33" s="33" t="s">
        <v>103</v>
      </c>
      <c r="J33" s="33" t="s">
        <v>86</v>
      </c>
      <c r="K33" s="33" t="s">
        <v>204</v>
      </c>
      <c r="L33" s="33" t="s">
        <v>83</v>
      </c>
      <c r="M33" s="33" t="s">
        <v>84</v>
      </c>
      <c r="N33" s="33" t="s">
        <v>61</v>
      </c>
      <c r="O33" s="33" t="s">
        <v>205</v>
      </c>
      <c r="P33" s="33" t="s">
        <v>206</v>
      </c>
      <c r="Q33" s="33" t="s">
        <v>33</v>
      </c>
    </row>
    <row r="34" spans="1:17" x14ac:dyDescent="0.25">
      <c r="A34" s="33" t="s">
        <v>99</v>
      </c>
      <c r="B34" s="63">
        <v>46089</v>
      </c>
      <c r="C34" s="33" t="s">
        <v>207</v>
      </c>
      <c r="D34" s="34" t="s">
        <v>208</v>
      </c>
      <c r="E34" s="33" t="s">
        <v>208</v>
      </c>
      <c r="F34" s="33" t="s">
        <v>32</v>
      </c>
      <c r="G34" s="33" t="s">
        <v>209</v>
      </c>
      <c r="H34" s="33" t="s">
        <v>210</v>
      </c>
      <c r="I34" s="33" t="s">
        <v>81</v>
      </c>
      <c r="J34" s="33" t="s">
        <v>86</v>
      </c>
      <c r="K34" s="33" t="s">
        <v>211</v>
      </c>
      <c r="L34" s="33" t="s">
        <v>83</v>
      </c>
      <c r="M34" s="33" t="s">
        <v>84</v>
      </c>
      <c r="N34" s="33" t="s">
        <v>72</v>
      </c>
      <c r="O34" s="33" t="s">
        <v>63</v>
      </c>
      <c r="P34" s="33" t="s">
        <v>73</v>
      </c>
      <c r="Q34" s="33" t="s">
        <v>33</v>
      </c>
    </row>
    <row r="35" spans="1:17" x14ac:dyDescent="0.25">
      <c r="A35" s="33" t="s">
        <v>74</v>
      </c>
      <c r="B35" s="63">
        <v>46089</v>
      </c>
      <c r="C35" s="33" t="s">
        <v>212</v>
      </c>
      <c r="D35" s="34" t="s">
        <v>213</v>
      </c>
      <c r="E35" s="33" t="s">
        <v>213</v>
      </c>
      <c r="F35" s="33" t="s">
        <v>32</v>
      </c>
      <c r="G35" s="33" t="s">
        <v>209</v>
      </c>
      <c r="H35" s="33" t="s">
        <v>210</v>
      </c>
      <c r="I35" s="33" t="s">
        <v>81</v>
      </c>
      <c r="J35" s="33" t="s">
        <v>86</v>
      </c>
      <c r="K35" s="33" t="s">
        <v>211</v>
      </c>
      <c r="L35" s="33" t="s">
        <v>83</v>
      </c>
      <c r="M35" s="33" t="s">
        <v>84</v>
      </c>
      <c r="N35" s="33" t="s">
        <v>61</v>
      </c>
      <c r="O35" s="33" t="s">
        <v>70</v>
      </c>
      <c r="P35" s="33" t="s">
        <v>214</v>
      </c>
      <c r="Q35" s="33" t="s">
        <v>33</v>
      </c>
    </row>
    <row r="36" spans="1:17" x14ac:dyDescent="0.25">
      <c r="A36" s="33" t="s">
        <v>88</v>
      </c>
      <c r="B36" s="63">
        <v>46090</v>
      </c>
      <c r="C36" s="33" t="s">
        <v>215</v>
      </c>
      <c r="D36" s="34" t="s">
        <v>216</v>
      </c>
      <c r="E36" s="33" t="s">
        <v>216</v>
      </c>
      <c r="F36" s="33" t="s">
        <v>32</v>
      </c>
      <c r="G36" s="33" t="s">
        <v>217</v>
      </c>
      <c r="H36" s="33" t="s">
        <v>218</v>
      </c>
      <c r="I36" s="33" t="s">
        <v>81</v>
      </c>
      <c r="K36" s="33" t="s">
        <v>219</v>
      </c>
      <c r="L36" s="33" t="s">
        <v>81</v>
      </c>
      <c r="M36" s="33" t="s">
        <v>84</v>
      </c>
      <c r="N36" s="33" t="s">
        <v>61</v>
      </c>
      <c r="O36" s="33" t="s">
        <v>205</v>
      </c>
      <c r="P36" s="33" t="s">
        <v>220</v>
      </c>
      <c r="Q36" s="33" t="s">
        <v>33</v>
      </c>
    </row>
    <row r="37" spans="1:17" x14ac:dyDescent="0.25">
      <c r="A37" s="33" t="s">
        <v>88</v>
      </c>
      <c r="B37" s="63">
        <v>46090</v>
      </c>
      <c r="C37" s="33" t="s">
        <v>221</v>
      </c>
      <c r="D37" s="34" t="s">
        <v>222</v>
      </c>
      <c r="E37" s="33" t="s">
        <v>222</v>
      </c>
      <c r="F37" s="33" t="s">
        <v>32</v>
      </c>
      <c r="G37" s="33" t="s">
        <v>217</v>
      </c>
      <c r="H37" s="33" t="s">
        <v>218</v>
      </c>
      <c r="I37" s="33" t="s">
        <v>81</v>
      </c>
      <c r="K37" s="33" t="s">
        <v>219</v>
      </c>
      <c r="L37" s="33" t="s">
        <v>81</v>
      </c>
      <c r="M37" s="33" t="s">
        <v>84</v>
      </c>
      <c r="N37" s="33" t="s">
        <v>61</v>
      </c>
      <c r="O37" s="33" t="s">
        <v>75</v>
      </c>
      <c r="P37" s="33" t="s">
        <v>223</v>
      </c>
      <c r="Q37" s="33" t="s">
        <v>33</v>
      </c>
    </row>
    <row r="38" spans="1:17" x14ac:dyDescent="0.25">
      <c r="A38" s="33" t="s">
        <v>90</v>
      </c>
      <c r="B38" s="63">
        <v>46090</v>
      </c>
      <c r="C38" s="33" t="s">
        <v>224</v>
      </c>
      <c r="D38" s="34" t="s">
        <v>225</v>
      </c>
      <c r="E38" s="33" t="s">
        <v>225</v>
      </c>
      <c r="F38" s="33" t="s">
        <v>32</v>
      </c>
      <c r="G38" s="33" t="s">
        <v>226</v>
      </c>
      <c r="H38" s="33" t="s">
        <v>227</v>
      </c>
      <c r="I38" s="33" t="s">
        <v>81</v>
      </c>
      <c r="K38" s="33" t="s">
        <v>228</v>
      </c>
      <c r="M38" s="33" t="s">
        <v>84</v>
      </c>
      <c r="N38" s="33" t="s">
        <v>61</v>
      </c>
      <c r="O38" s="33" t="s">
        <v>102</v>
      </c>
      <c r="P38" s="33" t="s">
        <v>229</v>
      </c>
      <c r="Q38" s="33" t="s">
        <v>33</v>
      </c>
    </row>
    <row r="39" spans="1:17" x14ac:dyDescent="0.25">
      <c r="A39" s="33" t="s">
        <v>90</v>
      </c>
      <c r="B39" s="63">
        <v>46090</v>
      </c>
      <c r="C39" s="33" t="s">
        <v>230</v>
      </c>
      <c r="D39" s="34" t="s">
        <v>231</v>
      </c>
      <c r="E39" s="33" t="s">
        <v>231</v>
      </c>
      <c r="F39" s="33" t="s">
        <v>32</v>
      </c>
      <c r="G39" s="33" t="s">
        <v>226</v>
      </c>
      <c r="H39" s="33" t="s">
        <v>227</v>
      </c>
      <c r="I39" s="33" t="s">
        <v>81</v>
      </c>
      <c r="K39" s="33" t="s">
        <v>228</v>
      </c>
      <c r="M39" s="33" t="s">
        <v>84</v>
      </c>
      <c r="N39" s="33" t="s">
        <v>61</v>
      </c>
      <c r="O39" s="33" t="s">
        <v>76</v>
      </c>
      <c r="P39" s="33" t="s">
        <v>232</v>
      </c>
      <c r="Q39" s="33" t="s">
        <v>33</v>
      </c>
    </row>
    <row r="40" spans="1:17" x14ac:dyDescent="0.25">
      <c r="A40" s="33" t="s">
        <v>148</v>
      </c>
      <c r="B40" s="63">
        <v>46091</v>
      </c>
      <c r="C40" s="33" t="s">
        <v>233</v>
      </c>
      <c r="D40" s="34" t="s">
        <v>234</v>
      </c>
      <c r="E40" s="33" t="s">
        <v>234</v>
      </c>
      <c r="F40" s="33" t="s">
        <v>32</v>
      </c>
      <c r="G40" s="33" t="s">
        <v>235</v>
      </c>
      <c r="H40" s="33" t="s">
        <v>236</v>
      </c>
      <c r="I40" s="33" t="s">
        <v>101</v>
      </c>
      <c r="K40" s="33" t="s">
        <v>40</v>
      </c>
      <c r="M40" s="33" t="s">
        <v>84</v>
      </c>
      <c r="N40" s="33" t="s">
        <v>61</v>
      </c>
      <c r="O40" s="33" t="s">
        <v>75</v>
      </c>
      <c r="P40" s="33" t="s">
        <v>237</v>
      </c>
      <c r="Q40" s="33" t="s">
        <v>33</v>
      </c>
    </row>
    <row r="41" spans="1:17" x14ac:dyDescent="0.25">
      <c r="A41" s="33" t="s">
        <v>89</v>
      </c>
      <c r="B41" s="63">
        <v>46092</v>
      </c>
      <c r="C41" s="33" t="s">
        <v>238</v>
      </c>
      <c r="D41" s="34" t="s">
        <v>239</v>
      </c>
      <c r="E41" s="33" t="s">
        <v>239</v>
      </c>
      <c r="F41" s="33" t="s">
        <v>32</v>
      </c>
      <c r="G41" s="33" t="s">
        <v>40</v>
      </c>
      <c r="H41" s="33" t="s">
        <v>41</v>
      </c>
      <c r="I41" s="33" t="s">
        <v>87</v>
      </c>
      <c r="J41" s="33" t="s">
        <v>82</v>
      </c>
      <c r="K41" s="33" t="s">
        <v>40</v>
      </c>
      <c r="L41" s="33" t="s">
        <v>83</v>
      </c>
      <c r="M41" s="33" t="s">
        <v>84</v>
      </c>
      <c r="N41" s="33" t="s">
        <v>66</v>
      </c>
      <c r="O41" s="33" t="s">
        <v>47</v>
      </c>
      <c r="P41" s="33" t="s">
        <v>59</v>
      </c>
      <c r="Q41" s="33" t="s">
        <v>33</v>
      </c>
    </row>
    <row r="42" spans="1:17" x14ac:dyDescent="0.25">
      <c r="A42" s="33" t="s">
        <v>64</v>
      </c>
      <c r="B42" s="63">
        <v>46093</v>
      </c>
      <c r="C42" s="33" t="s">
        <v>240</v>
      </c>
      <c r="D42" s="34" t="s">
        <v>241</v>
      </c>
      <c r="E42" s="33" t="s">
        <v>241</v>
      </c>
      <c r="F42" s="33" t="s">
        <v>32</v>
      </c>
      <c r="G42" s="33" t="s">
        <v>40</v>
      </c>
      <c r="H42" s="33" t="s">
        <v>41</v>
      </c>
      <c r="I42" s="33" t="s">
        <v>87</v>
      </c>
      <c r="J42" s="33" t="s">
        <v>82</v>
      </c>
      <c r="K42" s="33" t="s">
        <v>242</v>
      </c>
      <c r="L42" s="33" t="s">
        <v>83</v>
      </c>
      <c r="M42" s="33" t="s">
        <v>84</v>
      </c>
      <c r="N42" s="33" t="s">
        <v>66</v>
      </c>
      <c r="O42" s="33" t="s">
        <v>47</v>
      </c>
      <c r="P42" s="33" t="s">
        <v>62</v>
      </c>
      <c r="Q42" s="33" t="s">
        <v>33</v>
      </c>
    </row>
    <row r="43" spans="1:17" x14ac:dyDescent="0.25">
      <c r="A43" s="33" t="s">
        <v>243</v>
      </c>
      <c r="B43" s="63">
        <v>46093</v>
      </c>
      <c r="C43" s="33" t="s">
        <v>244</v>
      </c>
      <c r="D43" s="34" t="s">
        <v>245</v>
      </c>
      <c r="E43" s="33" t="s">
        <v>245</v>
      </c>
      <c r="F43" s="33" t="s">
        <v>32</v>
      </c>
      <c r="G43" s="33" t="s">
        <v>246</v>
      </c>
      <c r="H43" s="33" t="s">
        <v>41</v>
      </c>
      <c r="I43" s="33" t="s">
        <v>87</v>
      </c>
      <c r="J43" s="33" t="s">
        <v>82</v>
      </c>
      <c r="K43" s="33" t="s">
        <v>40</v>
      </c>
      <c r="L43" s="33" t="s">
        <v>83</v>
      </c>
      <c r="M43" s="33" t="s">
        <v>84</v>
      </c>
      <c r="N43" s="33" t="s">
        <v>72</v>
      </c>
      <c r="O43" s="33" t="s">
        <v>47</v>
      </c>
      <c r="P43" s="33" t="s">
        <v>59</v>
      </c>
      <c r="Q43" s="33" t="s">
        <v>33</v>
      </c>
    </row>
    <row r="44" spans="1:17" x14ac:dyDescent="0.25">
      <c r="A44" s="33" t="s">
        <v>100</v>
      </c>
      <c r="B44" s="63">
        <v>46093</v>
      </c>
      <c r="C44" s="33" t="s">
        <v>247</v>
      </c>
      <c r="D44" s="34" t="s">
        <v>248</v>
      </c>
      <c r="E44" s="33" t="s">
        <v>248</v>
      </c>
      <c r="F44" s="33" t="s">
        <v>32</v>
      </c>
      <c r="G44" s="33" t="s">
        <v>40</v>
      </c>
      <c r="H44" s="33" t="s">
        <v>41</v>
      </c>
      <c r="I44" s="33" t="s">
        <v>87</v>
      </c>
      <c r="J44" s="33" t="s">
        <v>82</v>
      </c>
      <c r="K44" s="33" t="s">
        <v>40</v>
      </c>
      <c r="L44" s="33" t="s">
        <v>83</v>
      </c>
      <c r="M44" s="33" t="s">
        <v>84</v>
      </c>
      <c r="N44" s="33" t="s">
        <v>72</v>
      </c>
      <c r="O44" s="33" t="s">
        <v>47</v>
      </c>
      <c r="P44" s="33" t="s">
        <v>62</v>
      </c>
      <c r="Q44" s="33" t="s">
        <v>33</v>
      </c>
    </row>
    <row r="45" spans="1:17" x14ac:dyDescent="0.25">
      <c r="A45" s="33" t="s">
        <v>89</v>
      </c>
      <c r="B45" s="63">
        <v>46094</v>
      </c>
      <c r="C45" s="33" t="s">
        <v>249</v>
      </c>
      <c r="D45" s="34" t="s">
        <v>250</v>
      </c>
      <c r="E45" s="33" t="s">
        <v>250</v>
      </c>
      <c r="F45" s="33" t="s">
        <v>32</v>
      </c>
      <c r="G45" s="33" t="s">
        <v>40</v>
      </c>
      <c r="H45" s="33" t="s">
        <v>41</v>
      </c>
      <c r="I45" s="33" t="s">
        <v>87</v>
      </c>
      <c r="J45" s="33" t="s">
        <v>82</v>
      </c>
      <c r="K45" s="33" t="s">
        <v>40</v>
      </c>
      <c r="L45" s="33" t="s">
        <v>83</v>
      </c>
      <c r="M45" s="33" t="s">
        <v>84</v>
      </c>
      <c r="N45" s="33" t="s">
        <v>66</v>
      </c>
      <c r="O45" s="33" t="s">
        <v>47</v>
      </c>
      <c r="P45" s="33" t="s">
        <v>59</v>
      </c>
      <c r="Q45" s="33" t="s">
        <v>33</v>
      </c>
    </row>
    <row r="46" spans="1:17" x14ac:dyDescent="0.25">
      <c r="A46" s="33" t="s">
        <v>91</v>
      </c>
      <c r="B46" s="63">
        <v>46094</v>
      </c>
      <c r="C46" s="33" t="s">
        <v>251</v>
      </c>
      <c r="D46" s="34" t="s">
        <v>252</v>
      </c>
      <c r="E46" s="33" t="s">
        <v>252</v>
      </c>
      <c r="F46" s="33" t="s">
        <v>32</v>
      </c>
      <c r="G46" s="33" t="s">
        <v>253</v>
      </c>
      <c r="H46" s="33" t="s">
        <v>254</v>
      </c>
      <c r="I46" s="33" t="s">
        <v>255</v>
      </c>
      <c r="K46" s="33" t="s">
        <v>256</v>
      </c>
      <c r="L46" s="33" t="s">
        <v>257</v>
      </c>
      <c r="M46" s="33" t="s">
        <v>84</v>
      </c>
      <c r="N46" s="33" t="s">
        <v>258</v>
      </c>
      <c r="O46" s="33" t="s">
        <v>259</v>
      </c>
      <c r="P46" s="33" t="s">
        <v>260</v>
      </c>
      <c r="Q46" s="33" t="s">
        <v>33</v>
      </c>
    </row>
    <row r="47" spans="1:17" x14ac:dyDescent="0.25">
      <c r="A47" s="33" t="s">
        <v>98</v>
      </c>
      <c r="B47" s="63">
        <v>46095</v>
      </c>
      <c r="C47" s="33" t="s">
        <v>261</v>
      </c>
      <c r="D47" s="34" t="s">
        <v>262</v>
      </c>
      <c r="E47" s="33" t="s">
        <v>262</v>
      </c>
      <c r="F47" s="33" t="s">
        <v>32</v>
      </c>
      <c r="G47" s="33" t="s">
        <v>40</v>
      </c>
      <c r="H47" s="33" t="s">
        <v>41</v>
      </c>
      <c r="I47" s="33" t="s">
        <v>87</v>
      </c>
      <c r="J47" s="33" t="s">
        <v>82</v>
      </c>
      <c r="K47" s="33" t="s">
        <v>40</v>
      </c>
      <c r="L47" s="33" t="s">
        <v>83</v>
      </c>
      <c r="M47" s="33" t="s">
        <v>84</v>
      </c>
      <c r="N47" s="33" t="s">
        <v>72</v>
      </c>
      <c r="O47" s="33" t="s">
        <v>47</v>
      </c>
      <c r="P47" s="33" t="s">
        <v>263</v>
      </c>
      <c r="Q47" s="33" t="s">
        <v>33</v>
      </c>
    </row>
    <row r="48" spans="1:17" x14ac:dyDescent="0.25">
      <c r="A48" s="33" t="s">
        <v>88</v>
      </c>
      <c r="B48" s="63">
        <v>46096</v>
      </c>
      <c r="C48" s="33" t="s">
        <v>264</v>
      </c>
      <c r="D48" s="34" t="s">
        <v>265</v>
      </c>
      <c r="E48" s="33" t="s">
        <v>265</v>
      </c>
      <c r="F48" s="33" t="s">
        <v>32</v>
      </c>
      <c r="G48" s="33" t="s">
        <v>40</v>
      </c>
      <c r="H48" s="33" t="s">
        <v>41</v>
      </c>
      <c r="I48" s="33" t="s">
        <v>87</v>
      </c>
      <c r="J48" s="33" t="s">
        <v>82</v>
      </c>
      <c r="K48" s="33" t="s">
        <v>40</v>
      </c>
      <c r="L48" s="33" t="s">
        <v>83</v>
      </c>
      <c r="M48" s="33" t="s">
        <v>84</v>
      </c>
      <c r="N48" s="33" t="s">
        <v>66</v>
      </c>
      <c r="O48" s="33" t="s">
        <v>47</v>
      </c>
      <c r="P48" s="33" t="s">
        <v>59</v>
      </c>
      <c r="Q48" s="33" t="s">
        <v>33</v>
      </c>
    </row>
    <row r="49" spans="1:17" x14ac:dyDescent="0.25">
      <c r="A49" s="33" t="s">
        <v>167</v>
      </c>
      <c r="B49" s="63">
        <v>46096</v>
      </c>
      <c r="C49" s="33" t="s">
        <v>266</v>
      </c>
      <c r="D49" s="34" t="s">
        <v>267</v>
      </c>
      <c r="E49" s="33" t="s">
        <v>267</v>
      </c>
      <c r="F49" s="33" t="s">
        <v>32</v>
      </c>
      <c r="G49" s="33" t="s">
        <v>268</v>
      </c>
      <c r="H49" s="33" t="s">
        <v>269</v>
      </c>
      <c r="I49" s="33" t="s">
        <v>87</v>
      </c>
      <c r="J49" s="33" t="s">
        <v>86</v>
      </c>
      <c r="K49" s="33" t="s">
        <v>270</v>
      </c>
      <c r="L49" s="33" t="s">
        <v>83</v>
      </c>
      <c r="M49" s="33" t="s">
        <v>84</v>
      </c>
      <c r="N49" s="33" t="s">
        <v>61</v>
      </c>
      <c r="O49" s="33" t="s">
        <v>85</v>
      </c>
      <c r="P49" s="33" t="s">
        <v>271</v>
      </c>
      <c r="Q49" s="33" t="s">
        <v>33</v>
      </c>
    </row>
    <row r="50" spans="1:17" x14ac:dyDescent="0.25">
      <c r="A50" s="33" t="s">
        <v>272</v>
      </c>
      <c r="B50" s="63">
        <v>46096</v>
      </c>
      <c r="C50" s="33" t="s">
        <v>273</v>
      </c>
      <c r="D50" s="34" t="s">
        <v>274</v>
      </c>
      <c r="E50" s="33" t="s">
        <v>274</v>
      </c>
      <c r="F50" s="33" t="s">
        <v>32</v>
      </c>
      <c r="G50" s="33" t="s">
        <v>40</v>
      </c>
      <c r="H50" s="33" t="s">
        <v>41</v>
      </c>
      <c r="I50" s="33" t="s">
        <v>81</v>
      </c>
      <c r="J50" s="33" t="s">
        <v>86</v>
      </c>
      <c r="K50" s="33" t="s">
        <v>40</v>
      </c>
      <c r="L50" s="33" t="s">
        <v>83</v>
      </c>
      <c r="M50" s="33" t="s">
        <v>84</v>
      </c>
      <c r="N50" s="33" t="s">
        <v>72</v>
      </c>
      <c r="O50" s="33" t="s">
        <v>63</v>
      </c>
      <c r="P50" s="33" t="s">
        <v>275</v>
      </c>
      <c r="Q50" s="33" t="s">
        <v>33</v>
      </c>
    </row>
    <row r="51" spans="1:17" x14ac:dyDescent="0.25">
      <c r="A51" s="33" t="s">
        <v>272</v>
      </c>
      <c r="B51" s="63">
        <v>46096</v>
      </c>
      <c r="C51" s="33" t="s">
        <v>276</v>
      </c>
      <c r="D51" s="34" t="s">
        <v>277</v>
      </c>
      <c r="E51" s="33" t="s">
        <v>277</v>
      </c>
      <c r="F51" s="33" t="s">
        <v>32</v>
      </c>
      <c r="G51" s="33" t="s">
        <v>268</v>
      </c>
      <c r="H51" s="33" t="s">
        <v>269</v>
      </c>
      <c r="I51" s="33" t="s">
        <v>81</v>
      </c>
      <c r="J51" s="33" t="s">
        <v>86</v>
      </c>
      <c r="K51" s="33" t="s">
        <v>270</v>
      </c>
      <c r="L51" s="33" t="s">
        <v>83</v>
      </c>
      <c r="M51" s="33" t="s">
        <v>84</v>
      </c>
      <c r="N51" s="33" t="s">
        <v>61</v>
      </c>
      <c r="O51" s="33" t="s">
        <v>85</v>
      </c>
      <c r="P51" s="33" t="s">
        <v>278</v>
      </c>
      <c r="Q51" s="33" t="s">
        <v>33</v>
      </c>
    </row>
    <row r="52" spans="1:17" x14ac:dyDescent="0.25">
      <c r="A52" s="33" t="s">
        <v>98</v>
      </c>
      <c r="B52" s="63">
        <v>46097</v>
      </c>
      <c r="C52" s="33" t="s">
        <v>279</v>
      </c>
      <c r="D52" s="34" t="s">
        <v>280</v>
      </c>
      <c r="E52" s="33" t="s">
        <v>280</v>
      </c>
      <c r="F52" s="33" t="s">
        <v>32</v>
      </c>
      <c r="G52" s="33" t="s">
        <v>40</v>
      </c>
      <c r="H52" s="33" t="s">
        <v>41</v>
      </c>
      <c r="I52" s="33" t="s">
        <v>87</v>
      </c>
      <c r="J52" s="33" t="s">
        <v>82</v>
      </c>
      <c r="K52" s="33" t="s">
        <v>40</v>
      </c>
      <c r="L52" s="33" t="s">
        <v>83</v>
      </c>
      <c r="M52" s="33" t="s">
        <v>84</v>
      </c>
      <c r="N52" s="33" t="s">
        <v>72</v>
      </c>
      <c r="O52" s="33" t="s">
        <v>47</v>
      </c>
      <c r="P52" s="33" t="s">
        <v>263</v>
      </c>
      <c r="Q52" s="33" t="s">
        <v>33</v>
      </c>
    </row>
    <row r="53" spans="1:17" x14ac:dyDescent="0.25">
      <c r="A53" s="33" t="s">
        <v>80</v>
      </c>
      <c r="B53" s="63">
        <v>46097</v>
      </c>
      <c r="C53" s="33" t="s">
        <v>281</v>
      </c>
      <c r="D53" s="34" t="s">
        <v>282</v>
      </c>
      <c r="E53" s="33" t="s">
        <v>282</v>
      </c>
      <c r="F53" s="33" t="s">
        <v>32</v>
      </c>
      <c r="G53" s="33" t="s">
        <v>283</v>
      </c>
      <c r="H53" s="33" t="s">
        <v>284</v>
      </c>
      <c r="I53" s="33" t="s">
        <v>81</v>
      </c>
      <c r="J53" s="33" t="s">
        <v>86</v>
      </c>
      <c r="K53" s="33" t="s">
        <v>285</v>
      </c>
      <c r="L53" s="33" t="s">
        <v>83</v>
      </c>
      <c r="M53" s="33" t="s">
        <v>84</v>
      </c>
      <c r="N53" s="33" t="s">
        <v>61</v>
      </c>
      <c r="O53" s="33" t="s">
        <v>77</v>
      </c>
      <c r="P53" s="33" t="s">
        <v>286</v>
      </c>
      <c r="Q53" s="33" t="s">
        <v>33</v>
      </c>
    </row>
    <row r="54" spans="1:17" x14ac:dyDescent="0.25">
      <c r="A54" s="33" t="s">
        <v>80</v>
      </c>
      <c r="B54" s="63">
        <v>46099</v>
      </c>
      <c r="C54" s="33" t="s">
        <v>287</v>
      </c>
      <c r="D54" s="34" t="s">
        <v>288</v>
      </c>
      <c r="E54" s="33" t="s">
        <v>288</v>
      </c>
      <c r="F54" s="33" t="s">
        <v>32</v>
      </c>
      <c r="G54" s="33" t="s">
        <v>40</v>
      </c>
      <c r="H54" s="33" t="s">
        <v>96</v>
      </c>
      <c r="I54" s="33" t="s">
        <v>81</v>
      </c>
      <c r="J54" s="33" t="s">
        <v>86</v>
      </c>
      <c r="K54" s="33" t="s">
        <v>97</v>
      </c>
      <c r="L54" s="33" t="s">
        <v>83</v>
      </c>
      <c r="M54" s="33" t="s">
        <v>84</v>
      </c>
      <c r="N54" s="33" t="s">
        <v>72</v>
      </c>
      <c r="O54" s="33" t="s">
        <v>47</v>
      </c>
      <c r="P54" s="33" t="s">
        <v>62</v>
      </c>
      <c r="Q54" s="33" t="s">
        <v>33</v>
      </c>
    </row>
    <row r="55" spans="1:17" x14ac:dyDescent="0.25">
      <c r="A55" s="33" t="s">
        <v>80</v>
      </c>
      <c r="B55" s="63">
        <v>46101</v>
      </c>
      <c r="C55" s="33" t="s">
        <v>289</v>
      </c>
      <c r="D55" s="34" t="s">
        <v>290</v>
      </c>
      <c r="E55" s="33" t="s">
        <v>290</v>
      </c>
      <c r="F55" s="33" t="s">
        <v>32</v>
      </c>
      <c r="G55" s="33" t="s">
        <v>40</v>
      </c>
      <c r="H55" s="33" t="s">
        <v>96</v>
      </c>
      <c r="I55" s="33" t="s">
        <v>81</v>
      </c>
      <c r="J55" s="33" t="s">
        <v>86</v>
      </c>
      <c r="K55" s="33" t="s">
        <v>291</v>
      </c>
      <c r="L55" s="33" t="s">
        <v>83</v>
      </c>
      <c r="M55" s="33" t="s">
        <v>84</v>
      </c>
      <c r="N55" s="33" t="s">
        <v>72</v>
      </c>
      <c r="O55" s="33" t="s">
        <v>47</v>
      </c>
      <c r="P55" s="33" t="s">
        <v>62</v>
      </c>
      <c r="Q55" s="33" t="s">
        <v>33</v>
      </c>
    </row>
    <row r="56" spans="1:17" x14ac:dyDescent="0.25">
      <c r="A56" s="33" t="s">
        <v>67</v>
      </c>
      <c r="B56" s="63">
        <v>46104</v>
      </c>
      <c r="C56" s="33" t="s">
        <v>292</v>
      </c>
      <c r="D56" s="34" t="s">
        <v>293</v>
      </c>
      <c r="E56" s="33" t="s">
        <v>293</v>
      </c>
      <c r="F56" s="33" t="s">
        <v>32</v>
      </c>
      <c r="G56" s="33" t="s">
        <v>40</v>
      </c>
      <c r="H56" s="33" t="s">
        <v>41</v>
      </c>
      <c r="I56" s="33" t="s">
        <v>87</v>
      </c>
      <c r="J56" s="33" t="s">
        <v>82</v>
      </c>
      <c r="K56" s="33" t="s">
        <v>40</v>
      </c>
      <c r="L56" s="33" t="s">
        <v>83</v>
      </c>
      <c r="M56" s="33" t="s">
        <v>84</v>
      </c>
      <c r="N56" s="33" t="s">
        <v>72</v>
      </c>
      <c r="O56" s="33" t="s">
        <v>47</v>
      </c>
      <c r="P56" s="33" t="s">
        <v>59</v>
      </c>
      <c r="Q56" s="33" t="s">
        <v>33</v>
      </c>
    </row>
    <row r="57" spans="1:17" x14ac:dyDescent="0.25">
      <c r="A57" s="33" t="s">
        <v>90</v>
      </c>
      <c r="B57" s="63">
        <v>46105</v>
      </c>
      <c r="C57" s="33" t="s">
        <v>294</v>
      </c>
      <c r="D57" s="34" t="s">
        <v>295</v>
      </c>
      <c r="E57" s="33" t="s">
        <v>295</v>
      </c>
      <c r="F57" s="33" t="s">
        <v>32</v>
      </c>
      <c r="G57" s="33" t="s">
        <v>40</v>
      </c>
      <c r="H57" s="33" t="s">
        <v>41</v>
      </c>
      <c r="I57" s="33" t="s">
        <v>87</v>
      </c>
      <c r="J57" s="33" t="s">
        <v>82</v>
      </c>
      <c r="K57" s="33" t="s">
        <v>40</v>
      </c>
      <c r="L57" s="33" t="s">
        <v>83</v>
      </c>
      <c r="M57" s="33" t="s">
        <v>84</v>
      </c>
      <c r="N57" s="33" t="s">
        <v>72</v>
      </c>
      <c r="O57" s="33" t="s">
        <v>63</v>
      </c>
      <c r="P57" s="33" t="s">
        <v>296</v>
      </c>
      <c r="Q57" s="33" t="s">
        <v>33</v>
      </c>
    </row>
    <row r="58" spans="1:17" x14ac:dyDescent="0.25">
      <c r="A58" s="33" t="s">
        <v>90</v>
      </c>
      <c r="B58" s="63">
        <v>46105</v>
      </c>
      <c r="C58" s="33" t="s">
        <v>297</v>
      </c>
      <c r="D58" s="34" t="s">
        <v>298</v>
      </c>
      <c r="E58" s="33" t="s">
        <v>298</v>
      </c>
      <c r="F58" s="33" t="s">
        <v>32</v>
      </c>
      <c r="G58" s="33" t="s">
        <v>40</v>
      </c>
      <c r="H58" s="33" t="s">
        <v>41</v>
      </c>
      <c r="I58" s="33" t="s">
        <v>87</v>
      </c>
      <c r="J58" s="33" t="s">
        <v>82</v>
      </c>
      <c r="K58" s="33" t="s">
        <v>40</v>
      </c>
      <c r="L58" s="33" t="s">
        <v>83</v>
      </c>
      <c r="M58" s="33" t="s">
        <v>84</v>
      </c>
      <c r="N58" s="33" t="s">
        <v>72</v>
      </c>
      <c r="O58" s="33" t="s">
        <v>63</v>
      </c>
      <c r="P58" s="33" t="s">
        <v>299</v>
      </c>
      <c r="Q58" s="33" t="s">
        <v>33</v>
      </c>
    </row>
    <row r="59" spans="1:17" x14ac:dyDescent="0.25">
      <c r="A59" s="33" t="s">
        <v>100</v>
      </c>
      <c r="B59" s="63">
        <v>46105</v>
      </c>
      <c r="C59" s="33" t="s">
        <v>300</v>
      </c>
      <c r="D59" s="34" t="s">
        <v>301</v>
      </c>
      <c r="E59" s="33" t="s">
        <v>301</v>
      </c>
      <c r="F59" s="33" t="s">
        <v>32</v>
      </c>
      <c r="G59" s="33" t="s">
        <v>302</v>
      </c>
      <c r="H59" s="33" t="s">
        <v>41</v>
      </c>
      <c r="I59" s="33" t="s">
        <v>81</v>
      </c>
      <c r="J59" s="33" t="s">
        <v>86</v>
      </c>
      <c r="K59" s="33" t="s">
        <v>303</v>
      </c>
      <c r="L59" s="33" t="s">
        <v>83</v>
      </c>
      <c r="M59" s="33" t="s">
        <v>84</v>
      </c>
      <c r="N59" s="33" t="s">
        <v>72</v>
      </c>
      <c r="O59" s="33" t="s">
        <v>63</v>
      </c>
      <c r="P59" s="33" t="s">
        <v>95</v>
      </c>
      <c r="Q59" s="33" t="s">
        <v>33</v>
      </c>
    </row>
    <row r="60" spans="1:17" x14ac:dyDescent="0.25">
      <c r="A60" s="33" t="s">
        <v>67</v>
      </c>
      <c r="B60" s="33" t="s">
        <v>304</v>
      </c>
      <c r="C60" s="33" t="s">
        <v>305</v>
      </c>
      <c r="D60" s="34" t="s">
        <v>306</v>
      </c>
      <c r="E60" s="33" t="s">
        <v>306</v>
      </c>
      <c r="F60" s="33" t="s">
        <v>32</v>
      </c>
      <c r="G60" s="33" t="s">
        <v>40</v>
      </c>
      <c r="H60" s="33" t="s">
        <v>41</v>
      </c>
      <c r="I60" s="33" t="s">
        <v>87</v>
      </c>
      <c r="J60" s="33" t="s">
        <v>82</v>
      </c>
      <c r="K60" s="33" t="s">
        <v>40</v>
      </c>
      <c r="L60" s="33" t="s">
        <v>83</v>
      </c>
      <c r="M60" s="33" t="s">
        <v>84</v>
      </c>
      <c r="N60" s="33" t="s">
        <v>72</v>
      </c>
      <c r="O60" s="33" t="s">
        <v>47</v>
      </c>
      <c r="P60" s="33" t="s">
        <v>62</v>
      </c>
      <c r="Q60" s="33" t="s">
        <v>33</v>
      </c>
    </row>
    <row r="61" spans="1:17" x14ac:dyDescent="0.25">
      <c r="A61" s="33" t="s">
        <v>307</v>
      </c>
      <c r="B61" s="33" t="s">
        <v>308</v>
      </c>
      <c r="C61" s="33" t="s">
        <v>309</v>
      </c>
      <c r="D61" s="34" t="s">
        <v>310</v>
      </c>
      <c r="E61" s="33" t="s">
        <v>310</v>
      </c>
      <c r="F61" s="33" t="s">
        <v>32</v>
      </c>
      <c r="G61" s="33" t="s">
        <v>311</v>
      </c>
      <c r="H61" s="33" t="s">
        <v>312</v>
      </c>
      <c r="I61" s="33" t="s">
        <v>101</v>
      </c>
      <c r="K61" s="33" t="s">
        <v>313</v>
      </c>
      <c r="M61" s="33" t="s">
        <v>84</v>
      </c>
      <c r="N61" s="33" t="s">
        <v>61</v>
      </c>
      <c r="O61" s="33" t="s">
        <v>205</v>
      </c>
      <c r="P61" s="33" t="s">
        <v>314</v>
      </c>
      <c r="Q61" s="33" t="s">
        <v>33</v>
      </c>
    </row>
    <row r="62" spans="1:17" x14ac:dyDescent="0.25">
      <c r="A62" s="33" t="s">
        <v>315</v>
      </c>
      <c r="B62" s="33" t="s">
        <v>316</v>
      </c>
      <c r="C62" s="33" t="s">
        <v>317</v>
      </c>
      <c r="D62" s="34" t="s">
        <v>318</v>
      </c>
      <c r="E62" s="33" t="s">
        <v>318</v>
      </c>
      <c r="F62" s="33" t="s">
        <v>32</v>
      </c>
      <c r="G62" s="33" t="s">
        <v>319</v>
      </c>
      <c r="H62" s="33" t="s">
        <v>320</v>
      </c>
      <c r="I62" s="33" t="s">
        <v>87</v>
      </c>
      <c r="J62" s="33" t="s">
        <v>86</v>
      </c>
      <c r="K62" s="33" t="s">
        <v>40</v>
      </c>
      <c r="L62" s="33" t="s">
        <v>83</v>
      </c>
      <c r="M62" s="33" t="s">
        <v>84</v>
      </c>
      <c r="N62" s="33" t="s">
        <v>61</v>
      </c>
      <c r="O62" s="33" t="s">
        <v>205</v>
      </c>
      <c r="P62" s="33" t="s">
        <v>321</v>
      </c>
      <c r="Q62" s="33" t="s">
        <v>33</v>
      </c>
    </row>
    <row r="63" spans="1:17" x14ac:dyDescent="0.25">
      <c r="A63" s="33" t="s">
        <v>88</v>
      </c>
      <c r="B63" s="33" t="s">
        <v>322</v>
      </c>
      <c r="C63" s="33" t="s">
        <v>323</v>
      </c>
      <c r="D63" s="34" t="s">
        <v>324</v>
      </c>
      <c r="E63" s="33" t="s">
        <v>324</v>
      </c>
      <c r="F63" s="33" t="s">
        <v>32</v>
      </c>
      <c r="G63" s="33" t="s">
        <v>40</v>
      </c>
      <c r="H63" s="33" t="s">
        <v>41</v>
      </c>
      <c r="I63" s="33" t="s">
        <v>87</v>
      </c>
      <c r="J63" s="33" t="s">
        <v>82</v>
      </c>
      <c r="K63" s="33" t="s">
        <v>40</v>
      </c>
      <c r="L63" s="33" t="s">
        <v>83</v>
      </c>
      <c r="M63" s="33" t="s">
        <v>84</v>
      </c>
      <c r="N63" s="33" t="s">
        <v>66</v>
      </c>
      <c r="O63" s="33" t="s">
        <v>47</v>
      </c>
      <c r="P63" s="33" t="s">
        <v>59</v>
      </c>
      <c r="Q63" s="33" t="s">
        <v>33</v>
      </c>
    </row>
    <row r="64" spans="1:17" x14ac:dyDescent="0.25">
      <c r="A64" s="33" t="s">
        <v>91</v>
      </c>
      <c r="B64" s="33" t="s">
        <v>325</v>
      </c>
      <c r="C64" s="33" t="s">
        <v>326</v>
      </c>
      <c r="D64" s="34" t="s">
        <v>327</v>
      </c>
      <c r="E64" s="33" t="s">
        <v>327</v>
      </c>
      <c r="F64" s="33" t="s">
        <v>32</v>
      </c>
      <c r="G64" s="33" t="s">
        <v>40</v>
      </c>
      <c r="H64" s="33" t="s">
        <v>41</v>
      </c>
      <c r="I64" s="33" t="s">
        <v>87</v>
      </c>
      <c r="J64" s="33" t="s">
        <v>82</v>
      </c>
      <c r="K64" s="33" t="s">
        <v>40</v>
      </c>
      <c r="L64" s="33" t="s">
        <v>83</v>
      </c>
      <c r="M64" s="33" t="s">
        <v>84</v>
      </c>
      <c r="N64" s="33" t="s">
        <v>72</v>
      </c>
      <c r="O64" s="33" t="s">
        <v>47</v>
      </c>
      <c r="P64" s="33" t="s">
        <v>62</v>
      </c>
      <c r="Q64" s="33" t="s">
        <v>33</v>
      </c>
    </row>
    <row r="65" spans="1:17" x14ac:dyDescent="0.25">
      <c r="A65" s="33" t="s">
        <v>243</v>
      </c>
      <c r="B65" s="33" t="s">
        <v>328</v>
      </c>
      <c r="C65" s="33" t="s">
        <v>329</v>
      </c>
      <c r="D65" s="34" t="s">
        <v>330</v>
      </c>
      <c r="E65" s="33" t="s">
        <v>330</v>
      </c>
      <c r="F65" s="33" t="s">
        <v>32</v>
      </c>
      <c r="G65" s="33" t="s">
        <v>40</v>
      </c>
      <c r="H65" s="33" t="s">
        <v>41</v>
      </c>
      <c r="I65" s="33" t="s">
        <v>87</v>
      </c>
      <c r="J65" s="33" t="s">
        <v>82</v>
      </c>
      <c r="K65" s="33" t="s">
        <v>40</v>
      </c>
      <c r="L65" s="33" t="s">
        <v>83</v>
      </c>
      <c r="M65" s="33" t="s">
        <v>84</v>
      </c>
      <c r="N65" s="33" t="s">
        <v>72</v>
      </c>
      <c r="O65" s="33" t="s">
        <v>47</v>
      </c>
      <c r="P65" s="33" t="s">
        <v>331</v>
      </c>
      <c r="Q65" s="33" t="s">
        <v>33</v>
      </c>
    </row>
    <row r="66" spans="1:17" x14ac:dyDescent="0.25">
      <c r="A66" s="33" t="s">
        <v>65</v>
      </c>
      <c r="B66" s="33" t="s">
        <v>332</v>
      </c>
      <c r="C66" s="33" t="s">
        <v>333</v>
      </c>
      <c r="D66" s="34" t="s">
        <v>334</v>
      </c>
      <c r="E66" s="33" t="s">
        <v>334</v>
      </c>
      <c r="F66" s="33" t="s">
        <v>32</v>
      </c>
      <c r="G66" s="33" t="s">
        <v>40</v>
      </c>
      <c r="H66" s="33" t="s">
        <v>41</v>
      </c>
      <c r="I66" s="33" t="s">
        <v>87</v>
      </c>
      <c r="J66" s="33" t="s">
        <v>82</v>
      </c>
      <c r="K66" s="33" t="s">
        <v>40</v>
      </c>
      <c r="L66" s="33" t="s">
        <v>83</v>
      </c>
      <c r="M66" s="33" t="s">
        <v>84</v>
      </c>
      <c r="N66" s="33" t="s">
        <v>66</v>
      </c>
      <c r="O66" s="33" t="s">
        <v>47</v>
      </c>
      <c r="P66" s="33" t="s">
        <v>59</v>
      </c>
      <c r="Q66" s="33" t="s">
        <v>33</v>
      </c>
    </row>
  </sheetData>
  <mergeCells count="1">
    <mergeCell ref="A4:Q10"/>
  </mergeCells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44"/>
  <sheetViews>
    <sheetView showGridLines="0" showRowColHeaders="0" zoomScale="80" zoomScaleNormal="80" workbookViewId="0">
      <selection activeCell="H11" sqref="H11"/>
    </sheetView>
  </sheetViews>
  <sheetFormatPr baseColWidth="10" defaultColWidth="0" defaultRowHeight="15" x14ac:dyDescent="0.25"/>
  <cols>
    <col min="1" max="2" width="11.42578125" style="1" customWidth="1"/>
    <col min="3" max="3" width="50" style="1" customWidth="1"/>
    <col min="4" max="4" width="8.5703125" style="1" bestFit="1" customWidth="1"/>
    <col min="5" max="5" width="9.42578125" style="1" bestFit="1" customWidth="1"/>
    <col min="6" max="6" width="11.42578125" style="1" customWidth="1"/>
    <col min="7" max="7" width="34" style="1" bestFit="1" customWidth="1"/>
    <col min="8" max="8" width="8.5703125" style="1" bestFit="1" customWidth="1"/>
    <col min="9" max="9" width="9.42578125" style="1" bestFit="1" customWidth="1"/>
    <col min="10" max="10" width="11.42578125" style="1" customWidth="1"/>
    <col min="11" max="16384" width="11.42578125" style="1" hidden="1"/>
  </cols>
  <sheetData>
    <row r="3" spans="3:9" ht="22.5" customHeight="1" x14ac:dyDescent="0.3">
      <c r="C3" s="99" t="s">
        <v>37</v>
      </c>
      <c r="D3" s="99"/>
      <c r="E3" s="99"/>
      <c r="F3" s="99"/>
      <c r="G3" s="99"/>
    </row>
    <row r="9" spans="3:9" x14ac:dyDescent="0.25">
      <c r="C9" s="50" t="s">
        <v>24</v>
      </c>
      <c r="D9" s="50" t="s">
        <v>19</v>
      </c>
      <c r="E9" s="50" t="s">
        <v>20</v>
      </c>
      <c r="G9" s="50" t="s">
        <v>34</v>
      </c>
      <c r="H9" s="50" t="s">
        <v>19</v>
      </c>
      <c r="I9" s="50" t="s">
        <v>20</v>
      </c>
    </row>
    <row r="10" spans="3:9" x14ac:dyDescent="0.25">
      <c r="C10" s="51" t="s">
        <v>258</v>
      </c>
      <c r="D10" s="56">
        <v>1</v>
      </c>
      <c r="E10" s="53">
        <v>1.8867924528301886E-2</v>
      </c>
      <c r="G10" s="51" t="s">
        <v>33</v>
      </c>
      <c r="H10" s="48">
        <v>53</v>
      </c>
      <c r="I10" s="49">
        <v>1</v>
      </c>
    </row>
    <row r="11" spans="3:9" x14ac:dyDescent="0.25">
      <c r="C11" s="54" t="s">
        <v>259</v>
      </c>
      <c r="D11" s="56">
        <v>1</v>
      </c>
      <c r="E11" s="53">
        <v>1.8867924528301886E-2</v>
      </c>
      <c r="G11" s="51" t="s">
        <v>0</v>
      </c>
      <c r="H11" s="48">
        <v>53</v>
      </c>
      <c r="I11" s="49">
        <v>1</v>
      </c>
    </row>
    <row r="12" spans="3:9" x14ac:dyDescent="0.25">
      <c r="C12" s="51" t="s">
        <v>66</v>
      </c>
      <c r="D12" s="48">
        <v>9</v>
      </c>
      <c r="E12" s="49">
        <v>0.16981132075471697</v>
      </c>
      <c r="G12"/>
      <c r="H12"/>
      <c r="I12"/>
    </row>
    <row r="13" spans="3:9" x14ac:dyDescent="0.25">
      <c r="C13" s="52" t="s">
        <v>47</v>
      </c>
      <c r="D13" s="48">
        <v>9</v>
      </c>
      <c r="E13" s="49">
        <v>0.16981132075471697</v>
      </c>
    </row>
    <row r="14" spans="3:9" x14ac:dyDescent="0.25">
      <c r="C14" s="51" t="s">
        <v>61</v>
      </c>
      <c r="D14" s="48">
        <v>28</v>
      </c>
      <c r="E14" s="49">
        <v>0.52830188679245282</v>
      </c>
    </row>
    <row r="15" spans="3:9" x14ac:dyDescent="0.25">
      <c r="C15" s="52" t="s">
        <v>70</v>
      </c>
      <c r="D15" s="48">
        <v>1</v>
      </c>
      <c r="E15" s="49">
        <v>1.8867924528301886E-2</v>
      </c>
    </row>
    <row r="16" spans="3:9" x14ac:dyDescent="0.25">
      <c r="C16" s="54" t="s">
        <v>102</v>
      </c>
      <c r="D16" s="56">
        <v>1</v>
      </c>
      <c r="E16" s="53">
        <v>1.8867924528301886E-2</v>
      </c>
    </row>
    <row r="17" spans="3:5" x14ac:dyDescent="0.25">
      <c r="C17" s="54" t="s">
        <v>76</v>
      </c>
      <c r="D17" s="56">
        <v>3</v>
      </c>
      <c r="E17" s="53">
        <v>5.6603773584905662E-2</v>
      </c>
    </row>
    <row r="18" spans="3:5" x14ac:dyDescent="0.25">
      <c r="C18" s="52" t="s">
        <v>77</v>
      </c>
      <c r="D18" s="48">
        <v>2</v>
      </c>
      <c r="E18" s="49">
        <v>3.7735849056603772E-2</v>
      </c>
    </row>
    <row r="19" spans="3:5" x14ac:dyDescent="0.25">
      <c r="C19" s="60" t="s">
        <v>85</v>
      </c>
      <c r="D19" s="56">
        <v>5</v>
      </c>
      <c r="E19" s="53">
        <v>9.4339622641509441E-2</v>
      </c>
    </row>
    <row r="20" spans="3:5" x14ac:dyDescent="0.25">
      <c r="C20" s="59" t="s">
        <v>75</v>
      </c>
      <c r="D20" s="56">
        <v>7</v>
      </c>
      <c r="E20" s="53">
        <v>0.13207547169811321</v>
      </c>
    </row>
    <row r="21" spans="3:5" x14ac:dyDescent="0.25">
      <c r="C21" s="54" t="s">
        <v>123</v>
      </c>
      <c r="D21" s="56">
        <v>1</v>
      </c>
      <c r="E21" s="53">
        <v>1.8867924528301886E-2</v>
      </c>
    </row>
    <row r="22" spans="3:5" x14ac:dyDescent="0.25">
      <c r="C22" s="54" t="s">
        <v>136</v>
      </c>
      <c r="D22" s="56">
        <v>1</v>
      </c>
      <c r="E22" s="53">
        <v>1.8867924528301886E-2</v>
      </c>
    </row>
    <row r="23" spans="3:5" x14ac:dyDescent="0.25">
      <c r="C23" s="54" t="s">
        <v>143</v>
      </c>
      <c r="D23" s="56">
        <v>2</v>
      </c>
      <c r="E23" s="53">
        <v>3.7735849056603772E-2</v>
      </c>
    </row>
    <row r="24" spans="3:5" x14ac:dyDescent="0.25">
      <c r="C24" s="54" t="s">
        <v>172</v>
      </c>
      <c r="D24" s="56">
        <v>1</v>
      </c>
      <c r="E24" s="53">
        <v>1.8867924528301886E-2</v>
      </c>
    </row>
    <row r="25" spans="3:5" x14ac:dyDescent="0.25">
      <c r="C25" s="54" t="s">
        <v>205</v>
      </c>
      <c r="D25" s="56">
        <v>4</v>
      </c>
      <c r="E25" s="53">
        <v>7.5471698113207544E-2</v>
      </c>
    </row>
    <row r="26" spans="3:5" x14ac:dyDescent="0.25">
      <c r="C26" s="51" t="s">
        <v>72</v>
      </c>
      <c r="D26" s="48">
        <v>15</v>
      </c>
      <c r="E26" s="49">
        <v>0.28301886792452829</v>
      </c>
    </row>
    <row r="27" spans="3:5" x14ac:dyDescent="0.25">
      <c r="C27" s="52" t="s">
        <v>63</v>
      </c>
      <c r="D27" s="48">
        <v>5</v>
      </c>
      <c r="E27" s="49">
        <v>9.4339622641509441E-2</v>
      </c>
    </row>
    <row r="28" spans="3:5" x14ac:dyDescent="0.25">
      <c r="C28" s="52" t="s">
        <v>47</v>
      </c>
      <c r="D28" s="48">
        <v>10</v>
      </c>
      <c r="E28" s="49">
        <v>0.18867924528301888</v>
      </c>
    </row>
    <row r="29" spans="3:5" x14ac:dyDescent="0.25">
      <c r="C29" s="58" t="s">
        <v>0</v>
      </c>
      <c r="D29" s="57">
        <v>53</v>
      </c>
      <c r="E29" s="55">
        <v>1</v>
      </c>
    </row>
    <row r="30" spans="3:5" x14ac:dyDescent="0.25">
      <c r="C30"/>
      <c r="D30"/>
      <c r="E30"/>
    </row>
    <row r="31" spans="3:5" x14ac:dyDescent="0.25">
      <c r="C31"/>
      <c r="D31"/>
      <c r="E31"/>
    </row>
    <row r="32" spans="3:5" x14ac:dyDescent="0.25">
      <c r="C32"/>
      <c r="D32"/>
      <c r="E32"/>
    </row>
    <row r="33" spans="3:9" x14ac:dyDescent="0.25">
      <c r="C33"/>
      <c r="D33"/>
      <c r="E33"/>
    </row>
    <row r="34" spans="3:9" x14ac:dyDescent="0.25">
      <c r="C34"/>
      <c r="D34"/>
      <c r="E34"/>
    </row>
    <row r="35" spans="3:9" s="18" customFormat="1" ht="15.75" x14ac:dyDescent="0.25">
      <c r="C35"/>
      <c r="D35"/>
      <c r="E35"/>
      <c r="G35" s="1"/>
      <c r="H35" s="1"/>
      <c r="I35" s="1"/>
    </row>
    <row r="36" spans="3:9" x14ac:dyDescent="0.25">
      <c r="C36"/>
      <c r="D36"/>
      <c r="E36"/>
    </row>
    <row r="37" spans="3:9" x14ac:dyDescent="0.25">
      <c r="C37"/>
      <c r="D37"/>
      <c r="E37"/>
    </row>
    <row r="38" spans="3:9" x14ac:dyDescent="0.25">
      <c r="C38"/>
      <c r="D38"/>
      <c r="E38"/>
    </row>
    <row r="39" spans="3:9" x14ac:dyDescent="0.25">
      <c r="C39"/>
      <c r="D39"/>
      <c r="E39"/>
    </row>
    <row r="40" spans="3:9" x14ac:dyDescent="0.25">
      <c r="C40"/>
      <c r="D40"/>
      <c r="E40"/>
    </row>
    <row r="41" spans="3:9" x14ac:dyDescent="0.25">
      <c r="C41"/>
      <c r="D41"/>
      <c r="E41"/>
    </row>
    <row r="42" spans="3:9" x14ac:dyDescent="0.25">
      <c r="C42"/>
      <c r="D42"/>
      <c r="E42"/>
    </row>
    <row r="43" spans="3:9" x14ac:dyDescent="0.25">
      <c r="C43"/>
      <c r="D43"/>
      <c r="E43"/>
    </row>
    <row r="44" spans="3:9" x14ac:dyDescent="0.25">
      <c r="C44"/>
      <c r="D44"/>
      <c r="E44"/>
    </row>
  </sheetData>
  <mergeCells count="1">
    <mergeCell ref="C3:G3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showGridLines="0" showRowColHeaders="0" zoomScale="80" zoomScaleNormal="80" workbookViewId="0">
      <selection activeCell="E22" sqref="E22"/>
    </sheetView>
  </sheetViews>
  <sheetFormatPr baseColWidth="10" defaultColWidth="0" defaultRowHeight="15" x14ac:dyDescent="0.25"/>
  <cols>
    <col min="1" max="1" width="10.85546875" style="1" customWidth="1"/>
    <col min="2" max="2" width="12.42578125" style="1" customWidth="1"/>
    <col min="3" max="3" width="46.7109375" style="1" customWidth="1"/>
    <col min="4" max="4" width="8.5703125" style="1" bestFit="1" customWidth="1"/>
    <col min="5" max="5" width="9.42578125" style="1" bestFit="1" customWidth="1"/>
    <col min="6" max="6" width="7.5703125" style="1" customWidth="1"/>
    <col min="7" max="17" width="11.42578125" style="1" customWidth="1"/>
    <col min="18" max="16384" width="11.42578125" style="1" hidden="1"/>
  </cols>
  <sheetData>
    <row r="1" spans="2:17" s="21" customFormat="1" ht="12.75" x14ac:dyDescent="0.2">
      <c r="B1" s="19"/>
      <c r="C1" s="19"/>
      <c r="D1" s="19"/>
      <c r="E1" s="20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2:17" s="21" customFormat="1" ht="12.75" x14ac:dyDescent="0.2">
      <c r="B2" s="19"/>
      <c r="C2" s="19"/>
      <c r="D2" s="19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2:17" s="21" customFormat="1" ht="22.5" customHeight="1" x14ac:dyDescent="0.2">
      <c r="B3" s="19"/>
      <c r="C3" s="100" t="s">
        <v>38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9"/>
      <c r="P3" s="19"/>
      <c r="Q3" s="19"/>
    </row>
    <row r="4" spans="2:17" s="21" customFormat="1" ht="12.75" customHeight="1" x14ac:dyDescent="0.2">
      <c r="B4" s="19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9"/>
      <c r="P4" s="19"/>
      <c r="Q4" s="19"/>
    </row>
    <row r="5" spans="2:17" s="21" customFormat="1" ht="12.75" customHeight="1" x14ac:dyDescent="0.2">
      <c r="B5" s="1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9"/>
      <c r="P5" s="19"/>
      <c r="Q5" s="19"/>
    </row>
    <row r="6" spans="2:17" s="21" customFormat="1" ht="12.75" x14ac:dyDescent="0.2">
      <c r="B6" s="19"/>
      <c r="C6" s="19"/>
      <c r="D6" s="19"/>
      <c r="E6" s="20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2:17" s="21" customFormat="1" ht="12.75" x14ac:dyDescent="0.2">
      <c r="B7" s="19"/>
      <c r="C7" s="19"/>
      <c r="D7" s="19"/>
      <c r="E7" s="20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2:17" s="21" customFormat="1" ht="12.75" x14ac:dyDescent="0.2">
      <c r="B8" s="19"/>
      <c r="C8" s="19"/>
      <c r="D8" s="19"/>
      <c r="E8" s="20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2:17" s="21" customFormat="1" ht="12.75" x14ac:dyDescent="0.2">
      <c r="B9" s="19"/>
      <c r="C9" s="19"/>
      <c r="D9" s="19"/>
      <c r="E9" s="20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2:17" x14ac:dyDescent="0.25">
      <c r="C10"/>
      <c r="D10"/>
    </row>
    <row r="12" spans="2:17" x14ac:dyDescent="0.25">
      <c r="C12" s="50" t="s">
        <v>22</v>
      </c>
      <c r="D12" s="50" t="s">
        <v>19</v>
      </c>
      <c r="E12" s="50" t="s">
        <v>20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2:17" x14ac:dyDescent="0.25">
      <c r="C13" s="51" t="s">
        <v>72</v>
      </c>
      <c r="D13" s="61">
        <v>15</v>
      </c>
      <c r="E13" s="62">
        <v>0.28301886792452829</v>
      </c>
    </row>
    <row r="14" spans="2:17" x14ac:dyDescent="0.25">
      <c r="C14" s="51" t="s">
        <v>61</v>
      </c>
      <c r="D14" s="61">
        <v>28</v>
      </c>
      <c r="E14" s="62">
        <v>0.52830188679245282</v>
      </c>
    </row>
    <row r="15" spans="2:17" x14ac:dyDescent="0.25">
      <c r="C15" s="51" t="s">
        <v>66</v>
      </c>
      <c r="D15" s="61">
        <v>9</v>
      </c>
      <c r="E15" s="62">
        <v>0.16981132075471697</v>
      </c>
    </row>
    <row r="16" spans="2:17" x14ac:dyDescent="0.25">
      <c r="C16" s="51" t="s">
        <v>258</v>
      </c>
      <c r="D16" s="61">
        <v>1</v>
      </c>
      <c r="E16" s="62">
        <v>1.8867924528301886E-2</v>
      </c>
    </row>
    <row r="17" spans="3:5" x14ac:dyDescent="0.25">
      <c r="C17" s="51" t="s">
        <v>0</v>
      </c>
      <c r="D17" s="61">
        <v>53</v>
      </c>
      <c r="E17" s="62">
        <v>1</v>
      </c>
    </row>
    <row r="18" spans="3:5" x14ac:dyDescent="0.25">
      <c r="C18"/>
      <c r="D18"/>
      <c r="E18"/>
    </row>
    <row r="19" spans="3:5" x14ac:dyDescent="0.25">
      <c r="C19"/>
      <c r="D19"/>
      <c r="E19"/>
    </row>
    <row r="20" spans="3:5" x14ac:dyDescent="0.25">
      <c r="C20"/>
      <c r="D20"/>
      <c r="E20"/>
    </row>
    <row r="21" spans="3:5" x14ac:dyDescent="0.25">
      <c r="C21"/>
      <c r="D21"/>
      <c r="E21"/>
    </row>
    <row r="33" spans="3:5" x14ac:dyDescent="0.25">
      <c r="C33" s="50" t="s">
        <v>25</v>
      </c>
      <c r="D33" s="50" t="s">
        <v>19</v>
      </c>
      <c r="E33" s="50" t="s">
        <v>20</v>
      </c>
    </row>
    <row r="34" spans="3:5" x14ac:dyDescent="0.25">
      <c r="C34" s="51" t="s">
        <v>63</v>
      </c>
      <c r="D34" s="61">
        <v>5</v>
      </c>
      <c r="E34" s="62">
        <v>9.4339622641509441E-2</v>
      </c>
    </row>
    <row r="35" spans="3:5" x14ac:dyDescent="0.25">
      <c r="C35" s="51" t="s">
        <v>47</v>
      </c>
      <c r="D35" s="61">
        <v>19</v>
      </c>
      <c r="E35" s="62">
        <v>0.35849056603773582</v>
      </c>
    </row>
    <row r="36" spans="3:5" x14ac:dyDescent="0.25">
      <c r="C36" s="51" t="s">
        <v>70</v>
      </c>
      <c r="D36" s="61">
        <v>1</v>
      </c>
      <c r="E36" s="62">
        <v>1.8867924528301886E-2</v>
      </c>
    </row>
    <row r="37" spans="3:5" x14ac:dyDescent="0.25">
      <c r="C37" s="51" t="s">
        <v>102</v>
      </c>
      <c r="D37" s="61">
        <v>1</v>
      </c>
      <c r="E37" s="62">
        <v>1.8867924528301886E-2</v>
      </c>
    </row>
    <row r="38" spans="3:5" x14ac:dyDescent="0.25">
      <c r="C38" s="51" t="s">
        <v>76</v>
      </c>
      <c r="D38" s="61">
        <v>3</v>
      </c>
      <c r="E38" s="62">
        <v>5.6603773584905662E-2</v>
      </c>
    </row>
    <row r="39" spans="3:5" x14ac:dyDescent="0.25">
      <c r="C39" s="51" t="s">
        <v>77</v>
      </c>
      <c r="D39" s="61">
        <v>2</v>
      </c>
      <c r="E39" s="62">
        <v>3.7735849056603772E-2</v>
      </c>
    </row>
    <row r="40" spans="3:5" x14ac:dyDescent="0.25">
      <c r="C40" s="51" t="s">
        <v>85</v>
      </c>
      <c r="D40" s="61">
        <v>5</v>
      </c>
      <c r="E40" s="62">
        <v>9.4339622641509441E-2</v>
      </c>
    </row>
    <row r="41" spans="3:5" x14ac:dyDescent="0.25">
      <c r="C41" s="51" t="s">
        <v>75</v>
      </c>
      <c r="D41" s="61">
        <v>7</v>
      </c>
      <c r="E41" s="62">
        <v>0.13207547169811321</v>
      </c>
    </row>
    <row r="42" spans="3:5" x14ac:dyDescent="0.25">
      <c r="C42" s="51" t="s">
        <v>123</v>
      </c>
      <c r="D42" s="61">
        <v>1</v>
      </c>
      <c r="E42" s="62">
        <v>1.8867924528301886E-2</v>
      </c>
    </row>
    <row r="43" spans="3:5" x14ac:dyDescent="0.25">
      <c r="C43" s="51" t="s">
        <v>136</v>
      </c>
      <c r="D43" s="61">
        <v>1</v>
      </c>
      <c r="E43" s="62">
        <v>1.8867924528301886E-2</v>
      </c>
    </row>
    <row r="44" spans="3:5" x14ac:dyDescent="0.25">
      <c r="C44" s="51" t="s">
        <v>143</v>
      </c>
      <c r="D44" s="61">
        <v>2</v>
      </c>
      <c r="E44" s="62">
        <v>3.7735849056603772E-2</v>
      </c>
    </row>
    <row r="45" spans="3:5" x14ac:dyDescent="0.25">
      <c r="C45" s="51" t="s">
        <v>172</v>
      </c>
      <c r="D45" s="61">
        <v>1</v>
      </c>
      <c r="E45" s="62">
        <v>1.8867924528301886E-2</v>
      </c>
    </row>
    <row r="46" spans="3:5" x14ac:dyDescent="0.25">
      <c r="C46" s="51" t="s">
        <v>205</v>
      </c>
      <c r="D46" s="61">
        <v>4</v>
      </c>
      <c r="E46" s="62">
        <v>7.5471698113207544E-2</v>
      </c>
    </row>
    <row r="47" spans="3:5" x14ac:dyDescent="0.25">
      <c r="C47" s="51" t="s">
        <v>259</v>
      </c>
      <c r="D47" s="61">
        <v>1</v>
      </c>
      <c r="E47" s="62">
        <v>1.8867924528301886E-2</v>
      </c>
    </row>
    <row r="48" spans="3:5" x14ac:dyDescent="0.25">
      <c r="C48" s="51" t="s">
        <v>0</v>
      </c>
      <c r="D48" s="61">
        <v>53</v>
      </c>
      <c r="E48" s="62">
        <v>1</v>
      </c>
    </row>
    <row r="49" spans="3:5" x14ac:dyDescent="0.25">
      <c r="C49"/>
      <c r="D49"/>
      <c r="E49"/>
    </row>
    <row r="50" spans="3:5" x14ac:dyDescent="0.25">
      <c r="C50"/>
      <c r="D50"/>
      <c r="E50"/>
    </row>
    <row r="51" spans="3:5" x14ac:dyDescent="0.25">
      <c r="C51"/>
      <c r="D51"/>
      <c r="E51"/>
    </row>
    <row r="52" spans="3:5" x14ac:dyDescent="0.25">
      <c r="C52"/>
      <c r="D52"/>
      <c r="E52"/>
    </row>
    <row r="53" spans="3:5" x14ac:dyDescent="0.25">
      <c r="C53"/>
      <c r="D53"/>
      <c r="E53"/>
    </row>
    <row r="54" spans="3:5" x14ac:dyDescent="0.25">
      <c r="C54"/>
      <c r="D54"/>
      <c r="E54"/>
    </row>
    <row r="55" spans="3:5" x14ac:dyDescent="0.25">
      <c r="C55"/>
      <c r="D55"/>
      <c r="E55"/>
    </row>
    <row r="56" spans="3:5" x14ac:dyDescent="0.25">
      <c r="C56"/>
      <c r="D56"/>
      <c r="E56"/>
    </row>
    <row r="57" spans="3:5" x14ac:dyDescent="0.25">
      <c r="C57"/>
      <c r="D57"/>
      <c r="E57"/>
    </row>
    <row r="58" spans="3:5" x14ac:dyDescent="0.25">
      <c r="C58"/>
      <c r="D58"/>
      <c r="E58"/>
    </row>
    <row r="59" spans="3:5" x14ac:dyDescent="0.25">
      <c r="C59"/>
      <c r="D59"/>
      <c r="E59"/>
    </row>
    <row r="60" spans="3:5" x14ac:dyDescent="0.25">
      <c r="C60"/>
      <c r="D60"/>
      <c r="E60"/>
    </row>
    <row r="61" spans="3:5" x14ac:dyDescent="0.25">
      <c r="C61"/>
      <c r="D61"/>
      <c r="E61"/>
    </row>
    <row r="62" spans="3:5" x14ac:dyDescent="0.25">
      <c r="C62"/>
      <c r="D62"/>
      <c r="E62"/>
    </row>
  </sheetData>
  <mergeCells count="1">
    <mergeCell ref="C3:N5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9"/>
  <sheetViews>
    <sheetView showGridLines="0" showRowColHeaders="0" topLeftCell="D1" zoomScale="85" zoomScaleNormal="85" workbookViewId="0">
      <selection activeCell="S20" sqref="S20"/>
    </sheetView>
  </sheetViews>
  <sheetFormatPr baseColWidth="10" defaultColWidth="0" defaultRowHeight="15" x14ac:dyDescent="0.25"/>
  <cols>
    <col min="1" max="1" width="17.5703125" style="1" hidden="1" customWidth="1"/>
    <col min="2" max="2" width="29" style="1" hidden="1" customWidth="1"/>
    <col min="3" max="3" width="32.5703125" style="1" hidden="1" customWidth="1"/>
    <col min="4" max="19" width="11.42578125" style="1" customWidth="1"/>
    <col min="20" max="24" width="0" style="1" hidden="1" customWidth="1"/>
    <col min="25" max="16384" width="11.42578125" style="1" hidden="1"/>
  </cols>
  <sheetData>
    <row r="1" spans="1:30" x14ac:dyDescent="0.25">
      <c r="A1" s="19"/>
    </row>
    <row r="2" spans="1:30" x14ac:dyDescent="0.25">
      <c r="A2" s="19"/>
    </row>
    <row r="3" spans="1:30" ht="58.5" customHeight="1" x14ac:dyDescent="0.25">
      <c r="A3" s="19"/>
      <c r="C3" s="101" t="s">
        <v>39</v>
      </c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</row>
    <row r="4" spans="1:30" x14ac:dyDescent="0.25">
      <c r="A4" s="19"/>
    </row>
    <row r="5" spans="1:30" x14ac:dyDescent="0.25">
      <c r="A5" s="19"/>
    </row>
    <row r="6" spans="1:30" x14ac:dyDescent="0.25">
      <c r="A6" s="19"/>
    </row>
    <row r="7" spans="1:30" x14ac:dyDescent="0.25">
      <c r="A7" s="22" t="s">
        <v>56</v>
      </c>
      <c r="B7" t="s">
        <v>57</v>
      </c>
      <c r="C7" t="s">
        <v>58</v>
      </c>
    </row>
    <row r="8" spans="1:30" x14ac:dyDescent="0.25">
      <c r="A8" s="23">
        <v>46082</v>
      </c>
      <c r="B8" s="25">
        <v>0</v>
      </c>
      <c r="C8" s="25">
        <v>0</v>
      </c>
    </row>
    <row r="9" spans="1:30" x14ac:dyDescent="0.25">
      <c r="A9" s="23">
        <v>46083</v>
      </c>
      <c r="B9" s="25">
        <v>1</v>
      </c>
      <c r="C9" s="25">
        <v>0</v>
      </c>
    </row>
    <row r="10" spans="1:30" x14ac:dyDescent="0.25">
      <c r="A10" s="23">
        <v>46084</v>
      </c>
      <c r="B10" s="25">
        <v>1</v>
      </c>
      <c r="C10" s="25">
        <v>0</v>
      </c>
    </row>
    <row r="11" spans="1:30" x14ac:dyDescent="0.25">
      <c r="A11" s="23">
        <v>46085</v>
      </c>
      <c r="B11" s="25">
        <v>0</v>
      </c>
      <c r="C11" s="25">
        <v>0</v>
      </c>
    </row>
    <row r="12" spans="1:30" x14ac:dyDescent="0.25">
      <c r="A12" s="23">
        <v>46086</v>
      </c>
      <c r="B12" s="25">
        <v>0</v>
      </c>
      <c r="C12" s="25">
        <v>0</v>
      </c>
    </row>
    <row r="13" spans="1:30" x14ac:dyDescent="0.25">
      <c r="A13" s="23">
        <v>46087</v>
      </c>
      <c r="B13" s="25">
        <v>2</v>
      </c>
      <c r="C13" s="25">
        <v>0</v>
      </c>
    </row>
    <row r="14" spans="1:30" x14ac:dyDescent="0.25">
      <c r="A14" s="23">
        <v>46088</v>
      </c>
      <c r="B14" s="25">
        <v>1</v>
      </c>
      <c r="C14" s="25">
        <v>0</v>
      </c>
    </row>
    <row r="15" spans="1:30" x14ac:dyDescent="0.25">
      <c r="A15" s="23">
        <v>46089</v>
      </c>
      <c r="B15" s="25">
        <v>0</v>
      </c>
      <c r="C15" s="25">
        <v>0</v>
      </c>
    </row>
    <row r="16" spans="1:30" x14ac:dyDescent="0.25">
      <c r="A16" s="23">
        <v>46090</v>
      </c>
      <c r="B16" s="25">
        <v>0</v>
      </c>
      <c r="C16" s="25">
        <v>0</v>
      </c>
    </row>
    <row r="17" spans="1:3" x14ac:dyDescent="0.25">
      <c r="A17" s="23">
        <v>46091</v>
      </c>
      <c r="B17" s="25">
        <v>2</v>
      </c>
      <c r="C17" s="25">
        <v>0</v>
      </c>
    </row>
    <row r="18" spans="1:3" x14ac:dyDescent="0.25">
      <c r="A18" s="23">
        <v>46092</v>
      </c>
      <c r="B18" s="25">
        <v>1</v>
      </c>
      <c r="C18" s="25">
        <v>0</v>
      </c>
    </row>
    <row r="19" spans="1:3" x14ac:dyDescent="0.25">
      <c r="A19" s="23">
        <v>46093</v>
      </c>
      <c r="B19" s="25">
        <v>2</v>
      </c>
      <c r="C19" s="25">
        <v>0</v>
      </c>
    </row>
    <row r="20" spans="1:3" x14ac:dyDescent="0.25">
      <c r="A20" s="23">
        <v>46094</v>
      </c>
      <c r="B20" s="25">
        <v>2</v>
      </c>
      <c r="C20" s="25">
        <v>0</v>
      </c>
    </row>
    <row r="21" spans="1:3" x14ac:dyDescent="0.25">
      <c r="A21" s="23">
        <v>46095</v>
      </c>
      <c r="B21" s="25">
        <v>1</v>
      </c>
      <c r="C21" s="25">
        <v>0</v>
      </c>
    </row>
    <row r="22" spans="1:3" x14ac:dyDescent="0.25">
      <c r="A22" s="23">
        <v>46096</v>
      </c>
      <c r="B22" s="25">
        <v>1</v>
      </c>
      <c r="C22" s="25">
        <v>0</v>
      </c>
    </row>
    <row r="23" spans="1:3" x14ac:dyDescent="0.25">
      <c r="A23" s="23">
        <v>46097</v>
      </c>
      <c r="B23" s="25">
        <v>2</v>
      </c>
      <c r="C23" s="25">
        <v>0</v>
      </c>
    </row>
    <row r="24" spans="1:3" x14ac:dyDescent="0.25">
      <c r="A24" s="23">
        <v>46098</v>
      </c>
      <c r="B24" s="25">
        <v>0</v>
      </c>
      <c r="C24" s="25">
        <v>0</v>
      </c>
    </row>
    <row r="25" spans="1:3" x14ac:dyDescent="0.25">
      <c r="A25" s="23">
        <v>46099</v>
      </c>
      <c r="B25" s="25">
        <v>0</v>
      </c>
      <c r="C25" s="25">
        <v>0</v>
      </c>
    </row>
    <row r="26" spans="1:3" x14ac:dyDescent="0.25">
      <c r="A26" s="23">
        <v>46100</v>
      </c>
      <c r="B26" s="25">
        <v>0</v>
      </c>
      <c r="C26" s="25">
        <v>0</v>
      </c>
    </row>
    <row r="27" spans="1:3" x14ac:dyDescent="0.25">
      <c r="A27" s="23">
        <v>46101</v>
      </c>
      <c r="B27" s="25">
        <v>0</v>
      </c>
      <c r="C27" s="25">
        <v>0</v>
      </c>
    </row>
    <row r="28" spans="1:3" x14ac:dyDescent="0.25">
      <c r="A28" s="23">
        <v>46102</v>
      </c>
      <c r="B28" s="25">
        <v>0</v>
      </c>
      <c r="C28" s="25">
        <v>0</v>
      </c>
    </row>
    <row r="29" spans="1:3" x14ac:dyDescent="0.25">
      <c r="A29" s="23">
        <v>46103</v>
      </c>
      <c r="B29" s="25">
        <v>0</v>
      </c>
      <c r="C29" s="25">
        <v>0</v>
      </c>
    </row>
    <row r="30" spans="1:3" x14ac:dyDescent="0.25">
      <c r="A30" s="23">
        <v>46104</v>
      </c>
      <c r="B30" s="25">
        <v>0</v>
      </c>
      <c r="C30" s="25">
        <v>0</v>
      </c>
    </row>
    <row r="31" spans="1:3" x14ac:dyDescent="0.25">
      <c r="A31" s="23">
        <v>46105</v>
      </c>
      <c r="B31" s="25">
        <v>4</v>
      </c>
      <c r="C31" s="25">
        <v>1</v>
      </c>
    </row>
    <row r="32" spans="1:3" x14ac:dyDescent="0.25">
      <c r="A32" s="23">
        <v>46106</v>
      </c>
      <c r="B32" s="25">
        <v>2</v>
      </c>
      <c r="C32" s="25">
        <v>1</v>
      </c>
    </row>
    <row r="33" spans="1:3" x14ac:dyDescent="0.25">
      <c r="A33" s="23">
        <v>46107</v>
      </c>
      <c r="B33" s="25">
        <v>1</v>
      </c>
      <c r="C33" s="25">
        <v>0</v>
      </c>
    </row>
    <row r="34" spans="1:3" x14ac:dyDescent="0.25">
      <c r="A34" s="23">
        <v>46108</v>
      </c>
      <c r="B34" s="25">
        <v>3</v>
      </c>
      <c r="C34" s="25">
        <v>0</v>
      </c>
    </row>
    <row r="35" spans="1:3" x14ac:dyDescent="0.25">
      <c r="A35" s="23">
        <v>46109</v>
      </c>
      <c r="B35" s="25">
        <v>1</v>
      </c>
      <c r="C35" s="25">
        <v>0</v>
      </c>
    </row>
    <row r="36" spans="1:3" x14ac:dyDescent="0.25">
      <c r="A36" s="23">
        <v>46110</v>
      </c>
      <c r="B36" s="25">
        <v>1</v>
      </c>
      <c r="C36" s="25">
        <v>0</v>
      </c>
    </row>
    <row r="37" spans="1:3" x14ac:dyDescent="0.25">
      <c r="A37" s="23">
        <v>46111</v>
      </c>
      <c r="B37" s="25">
        <v>7</v>
      </c>
      <c r="C37" s="25">
        <v>1</v>
      </c>
    </row>
    <row r="38" spans="1:3" x14ac:dyDescent="0.25">
      <c r="A38" s="23">
        <v>46112</v>
      </c>
      <c r="B38" s="25">
        <v>5</v>
      </c>
      <c r="C38" s="25">
        <v>1</v>
      </c>
    </row>
    <row r="39" spans="1:3" x14ac:dyDescent="0.25">
      <c r="A39" s="23" t="s">
        <v>0</v>
      </c>
      <c r="B39" s="25">
        <v>40</v>
      </c>
      <c r="C39" s="25">
        <v>4</v>
      </c>
    </row>
  </sheetData>
  <mergeCells count="1">
    <mergeCell ref="C3:AD3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"/>
  <sheetViews>
    <sheetView showGridLines="0" topLeftCell="A10" workbookViewId="0">
      <selection activeCell="J4" sqref="J4"/>
    </sheetView>
  </sheetViews>
  <sheetFormatPr baseColWidth="10" defaultRowHeight="15" x14ac:dyDescent="0.25"/>
  <sheetData>
    <row r="1" spans="2:17" x14ac:dyDescent="0.25">
      <c r="B1" s="102" t="s">
        <v>49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</row>
    <row r="2" spans="2:17" x14ac:dyDescent="0.25"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2:17" x14ac:dyDescent="0.25"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</sheetData>
  <mergeCells count="1">
    <mergeCell ref="B1:Q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E703F2-84C7-4182-A1D6-3DD8FB3E9BF5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REPORTE GERENCIAL</vt:lpstr>
      <vt:lpstr>TRX</vt:lpstr>
      <vt:lpstr>RESUMEN DE GESTION</vt:lpstr>
      <vt:lpstr>RESUMEN GLOBAL</vt:lpstr>
      <vt:lpstr>LLAMADAS DIARIAS</vt:lpstr>
      <vt:lpstr>GESTION IVR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</dc:title>
  <dc:creator>JCADENA</dc:creator>
  <cp:lastModifiedBy>ESCUELA_18</cp:lastModifiedBy>
  <dcterms:created xsi:type="dcterms:W3CDTF">2019-01-02T23:52:21Z</dcterms:created>
  <dcterms:modified xsi:type="dcterms:W3CDTF">2026-04-03T15:01:01Z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96 96 1600 900</vt:lpwstr>
  </property>
</Properties>
</file>